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6.xml" ContentType="application/vnd.openxmlformats-officedocument.drawingml.chart+xml"/>
  <Override PartName="/xl/worksheets/sheet8.xml" ContentType="application/vnd.openxmlformats-officedocument.spreadsheetml.worksheet+xml"/>
  <Override PartName="/xl/worksheets/_rels/sheet7.xml.rels" ContentType="application/vnd.openxmlformats-package.relationships+xml"/>
  <Override PartName="/xl/worksheets/_rels/sheet4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ggregated Scrubbed" sheetId="1" state="visible" r:id="rId2"/>
    <sheet name="3 Month 10 Year Spread" sheetId="2" state="visible" r:id="rId3"/>
    <sheet name="5 Year Tips Spread" sheetId="3" state="visible" r:id="rId4"/>
    <sheet name="SPY 2002-01-02 to 2003-01-03" sheetId="4" state="visible" r:id="rId5"/>
    <sheet name="Summary Stats" sheetId="5" state="visible" r:id="rId6"/>
    <sheet name="FRED Graph" sheetId="6" state="visible" r:id="rId7"/>
    <sheet name="YieldCurve Chart" sheetId="7" state="visible" r:id="rId8"/>
    <sheet name="Sheet1" sheetId="8" state="visible" r:id="rId9"/>
  </sheets>
  <definedNames>
    <definedName function="false" hidden="true" localSheetId="3" name="_xlnm._FilterDatabase" vbProcedure="false">'SPY 2002-01-02 to 2003-01-03'!$A$1:$D$54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<sst xmlns="http://schemas.openxmlformats.org/spreadsheetml/2006/main" count="69" uniqueCount="66">
  <si>
    <t xml:space="preserve">date</t>
  </si>
  <si>
    <t xml:space="preserve">bkx_close</t>
  </si>
  <si>
    <t xml:space="preserve">bkx_perc_change</t>
  </si>
  <si>
    <t xml:space="preserve">vix_close</t>
  </si>
  <si>
    <t xml:space="preserve">vix_perc_change</t>
  </si>
  <si>
    <t xml:space="preserve">spy_close</t>
  </si>
  <si>
    <t xml:space="preserve">spy_perc_change</t>
  </si>
  <si>
    <t xml:space="preserve">spy_14period_sma</t>
  </si>
  <si>
    <t xml:space="preserve">spy_7period_sma</t>
  </si>
  <si>
    <t xml:space="preserve">spy_3period_sma</t>
  </si>
  <si>
    <t xml:space="preserve">wti_close</t>
  </si>
  <si>
    <t xml:space="preserve">wti_perc_change</t>
  </si>
  <si>
    <t xml:space="preserve">brent_close</t>
  </si>
  <si>
    <t xml:space="preserve">brent_perc_change</t>
  </si>
  <si>
    <t xml:space="preserve">5yr_tips_spread</t>
  </si>
  <si>
    <t xml:space="preserve">5yr_tips_spread_perc_change</t>
  </si>
  <si>
    <t xml:space="preserve">5yr_tips_close</t>
  </si>
  <si>
    <t xml:space="preserve">5yr_tips_perc_change</t>
  </si>
  <si>
    <t xml:space="preserve">10yr_ust</t>
  </si>
  <si>
    <t xml:space="preserve">10yr_ust_perc_change</t>
  </si>
  <si>
    <t xml:space="preserve">3-10_ust_spread</t>
  </si>
  <si>
    <t xml:space="preserve">3-10_ust_spread_perc_change</t>
  </si>
  <si>
    <t xml:space="preserve">eur-usd_close</t>
  </si>
  <si>
    <t xml:space="preserve">eur-usd_perc_change</t>
  </si>
  <si>
    <t xml:space="preserve">eur-chf_close</t>
  </si>
  <si>
    <t xml:space="preserve">eur-chf_perc_change</t>
  </si>
  <si>
    <t xml:space="preserve">`</t>
  </si>
  <si>
    <t xml:space="preserve">3 Month</t>
  </si>
  <si>
    <t xml:space="preserve">10 Year</t>
  </si>
  <si>
    <t xml:space="preserve">Spread</t>
  </si>
  <si>
    <t xml:space="preserve">x</t>
  </si>
  <si>
    <t xml:space="preserve">5 yr tips</t>
  </si>
  <si>
    <t xml:space="preserve">5 yr treas</t>
  </si>
  <si>
    <t xml:space="preserve">spread</t>
  </si>
  <si>
    <t xml:space="preserve">Date</t>
  </si>
  <si>
    <t xml:space="preserve">Close</t>
  </si>
  <si>
    <t xml:space="preserve">Volume</t>
  </si>
  <si>
    <t xml:space="preserve">Adj Close</t>
  </si>
  <si>
    <t xml:space="preserve">Open</t>
  </si>
  <si>
    <t xml:space="preserve">High</t>
  </si>
  <si>
    <t xml:space="preserve">Low</t>
  </si>
  <si>
    <t xml:space="preserve">Summary Statistics</t>
  </si>
  <si>
    <t xml:space="preserve">Variable</t>
  </si>
  <si>
    <t xml:space="preserve"># Observations</t>
  </si>
  <si>
    <t xml:space="preserve">Mean</t>
  </si>
  <si>
    <t xml:space="preserve">Standard Deviation</t>
  </si>
  <si>
    <t xml:space="preserve">SPY</t>
  </si>
  <si>
    <t xml:space="preserve">BXK</t>
  </si>
  <si>
    <t xml:space="preserve">EUR/CHF</t>
  </si>
  <si>
    <t xml:space="preserve">EUR/USD</t>
  </si>
  <si>
    <t xml:space="preserve">BRENT</t>
  </si>
  <si>
    <t xml:space="preserve">WTI</t>
  </si>
  <si>
    <t xml:space="preserve">SPY3SMA</t>
  </si>
  <si>
    <t xml:space="preserve">VIX</t>
  </si>
  <si>
    <t xml:space="preserve">TIPSPREAD</t>
  </si>
  <si>
    <t xml:space="preserve">YIELDCURVE</t>
  </si>
  <si>
    <t xml:space="preserve">FRED Graph Observations</t>
  </si>
  <si>
    <t xml:space="preserve">Federal Reserve Economic Data</t>
  </si>
  <si>
    <t xml:space="preserve">Link: http://research.stlouisfed.org/fred2</t>
  </si>
  <si>
    <t xml:space="preserve">Help: http://research.stlouisfed.org/fred2/help-faq</t>
  </si>
  <si>
    <t xml:space="preserve">Economic Research Division</t>
  </si>
  <si>
    <t xml:space="preserve">Federal Reserve Bank of St. Louis</t>
  </si>
  <si>
    <t xml:space="preserve">WGS10YR</t>
  </si>
  <si>
    <t xml:space="preserve">10-Year Treasury Constant Maturity Rate (WGS10YR), Percent, Weekly, Not Seasonally Adjusted</t>
  </si>
  <si>
    <t xml:space="preserve">Frequency: Weekly, Ending Friday</t>
  </si>
  <si>
    <t xml:space="preserve">observation_date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</si>
</sst>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M/D/YYYY"/>
    <numFmt numFmtId="167" formatCode="0.000000000000000"/>
    <numFmt numFmtId="168" formatCode="YYYY\-MM\-DD"/>
    <numFmt numFmtId="169" formatCode="0%"/>
  </numFmts>
  <fonts count="1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Times New Roman"/>
      <family val="1"/>
      <charset val="1"/>
    </font>
    <font>
      <b val="true"/>
      <sz val="10"/>
      <color rgb="FF000000"/>
      <name val="Times New Roman"/>
      <family val="1"/>
      <charset val="1"/>
    </font>
    <font>
      <sz val="10"/>
      <color rgb="FF000000"/>
      <name val="Times New Roman"/>
      <family val="1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8DB4E2"/>
      </patternFill>
    </fill>
    <fill>
      <patternFill patternType="solid">
        <fgColor rgb="FF8DB4E2"/>
        <bgColor rgb="FF8EB4E3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8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2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8DB4E2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sharedStrings" Target="sharedStrings.xml"/>
</Relationships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3 Month, 10 Year Spread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percentStacked"/>
        <c:varyColors val="0"/>
        <c:ser>
          <c:idx val="0"/>
          <c:order val="0"/>
          <c:tx>
            <c:strRef>
              <c:f>"3 Month, 10 Year Spread"</c:f>
              <c:strCache>
                <c:ptCount val="1"/>
                <c:pt idx="0">
                  <c:v>3 Month, 10 Year Spread</c:v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numFmt formatCode="0.0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'Aggregated Scrubbed'!$U$3:$U$502</c:f>
              <c:strCache>
                <c:ptCount val="500"/>
                <c:pt idx="0">
                  <c:v>2.92</c:v>
                </c:pt>
                <c:pt idx="1">
                  <c:v>2.93</c:v>
                </c:pt>
                <c:pt idx="2">
                  <c:v>2.82</c:v>
                </c:pt>
                <c:pt idx="3">
                  <c:v>2.85</c:v>
                </c:pt>
                <c:pt idx="4">
                  <c:v>2.83</c:v>
                </c:pt>
                <c:pt idx="5">
                  <c:v>2.79</c:v>
                </c:pt>
                <c:pt idx="6">
                  <c:v>2.72</c:v>
                </c:pt>
                <c:pt idx="7">
                  <c:v>2.59</c:v>
                </c:pt>
                <c:pt idx="8">
                  <c:v>2.50</c:v>
                </c:pt>
                <c:pt idx="9">
                  <c:v>2.56</c:v>
                </c:pt>
                <c:pt idx="10">
                  <c:v>2.83</c:v>
                </c:pt>
                <c:pt idx="11">
                  <c:v>2.81</c:v>
                </c:pt>
                <c:pt idx="12">
                  <c:v>2.80</c:v>
                </c:pt>
                <c:pt idx="13">
                  <c:v>2.84</c:v>
                </c:pt>
                <c:pt idx="14">
                  <c:v>2.83</c:v>
                </c:pt>
                <c:pt idx="15">
                  <c:v>2.83</c:v>
                </c:pt>
                <c:pt idx="16">
                  <c:v>2.81</c:v>
                </c:pt>
                <c:pt idx="17">
                  <c:v>2.68</c:v>
                </c:pt>
                <c:pt idx="18">
                  <c:v>2.51</c:v>
                </c:pt>
                <c:pt idx="19">
                  <c:v>2.34</c:v>
                </c:pt>
                <c:pt idx="20">
                  <c:v>2.30</c:v>
                </c:pt>
                <c:pt idx="21">
                  <c:v>2.31</c:v>
                </c:pt>
                <c:pt idx="22">
                  <c:v>2.28</c:v>
                </c:pt>
                <c:pt idx="23">
                  <c:v>2.47</c:v>
                </c:pt>
                <c:pt idx="24">
                  <c:v>2.56</c:v>
                </c:pt>
                <c:pt idx="25">
                  <c:v>2.71</c:v>
                </c:pt>
                <c:pt idx="26">
                  <c:v>2.84</c:v>
                </c:pt>
                <c:pt idx="27">
                  <c:v>3.04</c:v>
                </c:pt>
                <c:pt idx="28">
                  <c:v>3.27</c:v>
                </c:pt>
                <c:pt idx="29">
                  <c:v>3.45</c:v>
                </c:pt>
                <c:pt idx="30">
                  <c:v>3.40</c:v>
                </c:pt>
                <c:pt idx="31">
                  <c:v>3.55</c:v>
                </c:pt>
                <c:pt idx="32">
                  <c:v>3.52</c:v>
                </c:pt>
                <c:pt idx="33">
                  <c:v>3.51</c:v>
                </c:pt>
                <c:pt idx="34">
                  <c:v>3.57</c:v>
                </c:pt>
                <c:pt idx="35">
                  <c:v>3.40</c:v>
                </c:pt>
                <c:pt idx="36">
                  <c:v>3.30</c:v>
                </c:pt>
                <c:pt idx="37">
                  <c:v>3.23</c:v>
                </c:pt>
                <c:pt idx="38">
                  <c:v>3.12</c:v>
                </c:pt>
                <c:pt idx="39">
                  <c:v>3.36</c:v>
                </c:pt>
                <c:pt idx="40">
                  <c:v>3.51</c:v>
                </c:pt>
                <c:pt idx="41">
                  <c:v>3.40</c:v>
                </c:pt>
                <c:pt idx="42">
                  <c:v>3.37</c:v>
                </c:pt>
                <c:pt idx="43">
                  <c:v>3.47</c:v>
                </c:pt>
                <c:pt idx="44">
                  <c:v>3.43</c:v>
                </c:pt>
                <c:pt idx="45">
                  <c:v>3.25</c:v>
                </c:pt>
                <c:pt idx="46">
                  <c:v>3.32</c:v>
                </c:pt>
                <c:pt idx="47">
                  <c:v>3.44</c:v>
                </c:pt>
                <c:pt idx="48">
                  <c:v>3.39</c:v>
                </c:pt>
                <c:pt idx="49">
                  <c:v>3.32</c:v>
                </c:pt>
                <c:pt idx="50">
                  <c:v>3.33</c:v>
                </c:pt>
                <c:pt idx="51">
                  <c:v>3.39</c:v>
                </c:pt>
                <c:pt idx="52">
                  <c:v>3.39</c:v>
                </c:pt>
                <c:pt idx="53">
                  <c:v>3.17</c:v>
                </c:pt>
                <c:pt idx="54">
                  <c:v>3.18</c:v>
                </c:pt>
                <c:pt idx="55">
                  <c:v>3.27</c:v>
                </c:pt>
                <c:pt idx="56">
                  <c:v>3.24</c:v>
                </c:pt>
                <c:pt idx="57">
                  <c:v>3.16</c:v>
                </c:pt>
                <c:pt idx="58">
                  <c:v>3.14</c:v>
                </c:pt>
                <c:pt idx="59">
                  <c:v>3.09</c:v>
                </c:pt>
                <c:pt idx="60">
                  <c:v>3.06</c:v>
                </c:pt>
                <c:pt idx="61">
                  <c:v>2.81</c:v>
                </c:pt>
                <c:pt idx="62">
                  <c:v>2.82</c:v>
                </c:pt>
                <c:pt idx="63">
                  <c:v>2.83</c:v>
                </c:pt>
                <c:pt idx="64">
                  <c:v>3.02</c:v>
                </c:pt>
                <c:pt idx="65">
                  <c:v>3.28</c:v>
                </c:pt>
                <c:pt idx="66">
                  <c:v>3.43</c:v>
                </c:pt>
                <c:pt idx="67">
                  <c:v>3.47</c:v>
                </c:pt>
                <c:pt idx="68">
                  <c:v>3.53</c:v>
                </c:pt>
                <c:pt idx="69">
                  <c:v>3.62</c:v>
                </c:pt>
                <c:pt idx="70">
                  <c:v>3.79</c:v>
                </c:pt>
                <c:pt idx="71">
                  <c:v>3.71</c:v>
                </c:pt>
                <c:pt idx="72">
                  <c:v>3.62</c:v>
                </c:pt>
                <c:pt idx="73">
                  <c:v>3.58</c:v>
                </c:pt>
                <c:pt idx="74">
                  <c:v>3.55</c:v>
                </c:pt>
                <c:pt idx="75">
                  <c:v>3.45</c:v>
                </c:pt>
                <c:pt idx="76">
                  <c:v>3.40</c:v>
                </c:pt>
                <c:pt idx="77">
                  <c:v>3.33</c:v>
                </c:pt>
                <c:pt idx="78">
                  <c:v>3.21</c:v>
                </c:pt>
                <c:pt idx="79">
                  <c:v>3.15</c:v>
                </c:pt>
                <c:pt idx="80">
                  <c:v>3.12</c:v>
                </c:pt>
                <c:pt idx="81">
                  <c:v>3.13</c:v>
                </c:pt>
                <c:pt idx="82">
                  <c:v>2.96</c:v>
                </c:pt>
                <c:pt idx="83">
                  <c:v>2.84</c:v>
                </c:pt>
                <c:pt idx="84">
                  <c:v>2.77</c:v>
                </c:pt>
                <c:pt idx="85">
                  <c:v>2.73</c:v>
                </c:pt>
                <c:pt idx="86">
                  <c:v>2.61</c:v>
                </c:pt>
                <c:pt idx="87">
                  <c:v>2.58</c:v>
                </c:pt>
                <c:pt idx="88">
                  <c:v>2.49</c:v>
                </c:pt>
                <c:pt idx="89">
                  <c:v>2.35</c:v>
                </c:pt>
                <c:pt idx="90">
                  <c:v>2.41</c:v>
                </c:pt>
                <c:pt idx="91">
                  <c:v>2.52</c:v>
                </c:pt>
                <c:pt idx="92">
                  <c:v>2.38</c:v>
                </c:pt>
                <c:pt idx="93">
                  <c:v>2.23</c:v>
                </c:pt>
                <c:pt idx="94">
                  <c:v>2.18</c:v>
                </c:pt>
                <c:pt idx="95">
                  <c:v>2.17</c:v>
                </c:pt>
                <c:pt idx="96">
                  <c:v>2.18</c:v>
                </c:pt>
                <c:pt idx="97">
                  <c:v>2.08</c:v>
                </c:pt>
                <c:pt idx="98">
                  <c:v>2.05</c:v>
                </c:pt>
                <c:pt idx="99">
                  <c:v>2.16</c:v>
                </c:pt>
                <c:pt idx="100">
                  <c:v>1.98</c:v>
                </c:pt>
                <c:pt idx="101">
                  <c:v>1.98</c:v>
                </c:pt>
                <c:pt idx="102">
                  <c:v>2.04</c:v>
                </c:pt>
                <c:pt idx="103">
                  <c:v>2.09</c:v>
                </c:pt>
                <c:pt idx="104">
                  <c:v>1.99</c:v>
                </c:pt>
                <c:pt idx="105">
                  <c:v>1.94</c:v>
                </c:pt>
                <c:pt idx="106">
                  <c:v>1.86</c:v>
                </c:pt>
                <c:pt idx="107">
                  <c:v>1.81</c:v>
                </c:pt>
                <c:pt idx="108">
                  <c:v>1.68</c:v>
                </c:pt>
                <c:pt idx="109">
                  <c:v>1.58</c:v>
                </c:pt>
                <c:pt idx="110">
                  <c:v>1.62</c:v>
                </c:pt>
                <c:pt idx="111">
                  <c:v>1.63</c:v>
                </c:pt>
                <c:pt idx="112">
                  <c:v>1.67</c:v>
                </c:pt>
                <c:pt idx="113">
                  <c:v>1.75</c:v>
                </c:pt>
                <c:pt idx="114">
                  <c:v>1.77</c:v>
                </c:pt>
                <c:pt idx="115">
                  <c:v>1.79</c:v>
                </c:pt>
                <c:pt idx="116">
                  <c:v>1.79</c:v>
                </c:pt>
                <c:pt idx="117">
                  <c:v>1.75</c:v>
                </c:pt>
                <c:pt idx="118">
                  <c:v>1.65</c:v>
                </c:pt>
                <c:pt idx="119">
                  <c:v>1.42</c:v>
                </c:pt>
                <c:pt idx="120">
                  <c:v>1.39</c:v>
                </c:pt>
                <c:pt idx="121">
                  <c:v>1.40</c:v>
                </c:pt>
                <c:pt idx="122">
                  <c:v>1.39</c:v>
                </c:pt>
                <c:pt idx="123">
                  <c:v>1.29</c:v>
                </c:pt>
                <c:pt idx="124">
                  <c:v>1.18</c:v>
                </c:pt>
                <c:pt idx="125">
                  <c:v>1.03</c:v>
                </c:pt>
                <c:pt idx="126">
                  <c:v>1.02</c:v>
                </c:pt>
                <c:pt idx="127">
                  <c:v>1.16</c:v>
                </c:pt>
                <c:pt idx="128">
                  <c:v>1.02</c:v>
                </c:pt>
                <c:pt idx="129">
                  <c:v>0.89</c:v>
                </c:pt>
                <c:pt idx="130">
                  <c:v>0.98</c:v>
                </c:pt>
                <c:pt idx="131">
                  <c:v>1.01</c:v>
                </c:pt>
                <c:pt idx="132">
                  <c:v>0.97</c:v>
                </c:pt>
                <c:pt idx="133">
                  <c:v>0.90</c:v>
                </c:pt>
                <c:pt idx="134">
                  <c:v>0.93</c:v>
                </c:pt>
                <c:pt idx="135">
                  <c:v>0.92</c:v>
                </c:pt>
                <c:pt idx="136">
                  <c:v>0.79</c:v>
                </c:pt>
                <c:pt idx="137">
                  <c:v>0.74</c:v>
                </c:pt>
                <c:pt idx="138">
                  <c:v>0.66</c:v>
                </c:pt>
                <c:pt idx="139">
                  <c:v>0.71</c:v>
                </c:pt>
                <c:pt idx="140">
                  <c:v>0.79</c:v>
                </c:pt>
                <c:pt idx="141">
                  <c:v>0.79</c:v>
                </c:pt>
                <c:pt idx="142">
                  <c:v>0.86</c:v>
                </c:pt>
                <c:pt idx="143">
                  <c:v>0.84</c:v>
                </c:pt>
                <c:pt idx="144">
                  <c:v>0.79</c:v>
                </c:pt>
                <c:pt idx="145">
                  <c:v>0.69</c:v>
                </c:pt>
                <c:pt idx="146">
                  <c:v>0.73</c:v>
                </c:pt>
                <c:pt idx="147">
                  <c:v>0.74</c:v>
                </c:pt>
                <c:pt idx="148">
                  <c:v>0.72</c:v>
                </c:pt>
                <c:pt idx="149">
                  <c:v>0.60</c:v>
                </c:pt>
                <c:pt idx="150">
                  <c:v>0.58</c:v>
                </c:pt>
                <c:pt idx="151">
                  <c:v>0.60</c:v>
                </c:pt>
                <c:pt idx="152">
                  <c:v>0.61</c:v>
                </c:pt>
                <c:pt idx="153">
                  <c:v>0.66</c:v>
                </c:pt>
                <c:pt idx="154">
                  <c:v>0.56</c:v>
                </c:pt>
                <c:pt idx="155">
                  <c:v>0.45</c:v>
                </c:pt>
                <c:pt idx="156">
                  <c:v>0.27</c:v>
                </c:pt>
                <c:pt idx="157">
                  <c:v>0.21</c:v>
                </c:pt>
                <c:pt idx="158">
                  <c:v>0.10</c:v>
                </c:pt>
                <c:pt idx="159">
                  <c:v>0.14</c:v>
                </c:pt>
                <c:pt idx="160">
                  <c:v>0.18</c:v>
                </c:pt>
                <c:pt idx="161">
                  <c:v>0.16</c:v>
                </c:pt>
                <c:pt idx="162">
                  <c:v>0.15</c:v>
                </c:pt>
                <c:pt idx="163">
                  <c:v>0.09</c:v>
                </c:pt>
                <c:pt idx="164">
                  <c:v>0.11</c:v>
                </c:pt>
                <c:pt idx="165">
                  <c:v>0.25</c:v>
                </c:pt>
                <c:pt idx="166">
                  <c:v>0.21</c:v>
                </c:pt>
                <c:pt idx="167">
                  <c:v>0.13</c:v>
                </c:pt>
                <c:pt idx="168">
                  <c:v>0.29</c:v>
                </c:pt>
                <c:pt idx="169">
                  <c:v>0.33</c:v>
                </c:pt>
                <c:pt idx="170">
                  <c:v>0.40</c:v>
                </c:pt>
                <c:pt idx="171">
                  <c:v>0.41</c:v>
                </c:pt>
                <c:pt idx="172">
                  <c:v>0.41</c:v>
                </c:pt>
                <c:pt idx="173">
                  <c:v>0.45</c:v>
                </c:pt>
                <c:pt idx="174">
                  <c:v>0.40</c:v>
                </c:pt>
                <c:pt idx="175">
                  <c:v>0.40</c:v>
                </c:pt>
                <c:pt idx="176">
                  <c:v>0.34</c:v>
                </c:pt>
                <c:pt idx="177">
                  <c:v>0.36</c:v>
                </c:pt>
                <c:pt idx="178">
                  <c:v>0.27</c:v>
                </c:pt>
                <c:pt idx="179">
                  <c:v>0.29</c:v>
                </c:pt>
                <c:pt idx="180">
                  <c:v>0.37</c:v>
                </c:pt>
                <c:pt idx="181">
                  <c:v>0.33</c:v>
                </c:pt>
                <c:pt idx="182">
                  <c:v>0.28</c:v>
                </c:pt>
                <c:pt idx="183">
                  <c:v>0.17</c:v>
                </c:pt>
                <c:pt idx="184">
                  <c:v>0.10</c:v>
                </c:pt>
                <c:pt idx="185">
                  <c:v>0.08</c:v>
                </c:pt>
                <c:pt idx="186">
                  <c:v>-0.01</c:v>
                </c:pt>
                <c:pt idx="187">
                  <c:v>-0.01</c:v>
                </c:pt>
                <c:pt idx="188">
                  <c:v>-0.07</c:v>
                </c:pt>
                <c:pt idx="189">
                  <c:v>-0.16</c:v>
                </c:pt>
                <c:pt idx="190">
                  <c:v>-0.17</c:v>
                </c:pt>
                <c:pt idx="191">
                  <c:v>-0.05</c:v>
                </c:pt>
                <c:pt idx="192">
                  <c:v>-0.02</c:v>
                </c:pt>
                <c:pt idx="193">
                  <c:v>-0.10</c:v>
                </c:pt>
                <c:pt idx="194">
                  <c:v>-0.16</c:v>
                </c:pt>
                <c:pt idx="195">
                  <c:v>-0.17</c:v>
                </c:pt>
                <c:pt idx="196">
                  <c:v>-0.12</c:v>
                </c:pt>
                <c:pt idx="197">
                  <c:v>-0.18</c:v>
                </c:pt>
                <c:pt idx="198">
                  <c:v>-0.22</c:v>
                </c:pt>
                <c:pt idx="199">
                  <c:v>-0.31</c:v>
                </c:pt>
                <c:pt idx="200">
                  <c:v>-0.32</c:v>
                </c:pt>
                <c:pt idx="201">
                  <c:v>-0.35</c:v>
                </c:pt>
                <c:pt idx="202">
                  <c:v>-0.35</c:v>
                </c:pt>
                <c:pt idx="203">
                  <c:v>-0.42</c:v>
                </c:pt>
                <c:pt idx="204">
                  <c:v>-0.38</c:v>
                </c:pt>
                <c:pt idx="205">
                  <c:v>-0.25</c:v>
                </c:pt>
                <c:pt idx="206">
                  <c:v>-0.24</c:v>
                </c:pt>
                <c:pt idx="207">
                  <c:v>-0.20</c:v>
                </c:pt>
                <c:pt idx="208">
                  <c:v>-0.26</c:v>
                </c:pt>
                <c:pt idx="209">
                  <c:v>-0.26</c:v>
                </c:pt>
                <c:pt idx="210">
                  <c:v>-0.22</c:v>
                </c:pt>
                <c:pt idx="211">
                  <c:v>-0.17</c:v>
                </c:pt>
                <c:pt idx="212">
                  <c:v>-0.14</c:v>
                </c:pt>
                <c:pt idx="213">
                  <c:v>-0.25</c:v>
                </c:pt>
                <c:pt idx="214">
                  <c:v>-0.28</c:v>
                </c:pt>
                <c:pt idx="215">
                  <c:v>-0.35</c:v>
                </c:pt>
                <c:pt idx="216">
                  <c:v>-0.46</c:v>
                </c:pt>
                <c:pt idx="217">
                  <c:v>-0.44</c:v>
                </c:pt>
                <c:pt idx="218">
                  <c:v>-0.39</c:v>
                </c:pt>
                <c:pt idx="219">
                  <c:v>-0.34</c:v>
                </c:pt>
                <c:pt idx="220">
                  <c:v>-0.29</c:v>
                </c:pt>
                <c:pt idx="221">
                  <c:v>-0.23</c:v>
                </c:pt>
                <c:pt idx="222">
                  <c:v>-0.15</c:v>
                </c:pt>
                <c:pt idx="223">
                  <c:v>-0.17</c:v>
                </c:pt>
                <c:pt idx="224">
                  <c:v>-0.16</c:v>
                </c:pt>
                <c:pt idx="225">
                  <c:v>-0.12</c:v>
                </c:pt>
                <c:pt idx="226">
                  <c:v>-0.10</c:v>
                </c:pt>
                <c:pt idx="227">
                  <c:v>0.05</c:v>
                </c:pt>
                <c:pt idx="228">
                  <c:v>0.07</c:v>
                </c:pt>
                <c:pt idx="229">
                  <c:v>0.22</c:v>
                </c:pt>
                <c:pt idx="230">
                  <c:v>0.35</c:v>
                </c:pt>
                <c:pt idx="231">
                  <c:v>0.67</c:v>
                </c:pt>
                <c:pt idx="232">
                  <c:v>0.58</c:v>
                </c:pt>
                <c:pt idx="233">
                  <c:v>0.42</c:v>
                </c:pt>
                <c:pt idx="234">
                  <c:v>0.29</c:v>
                </c:pt>
                <c:pt idx="235">
                  <c:v>0.28</c:v>
                </c:pt>
                <c:pt idx="236">
                  <c:v>0.20</c:v>
                </c:pt>
                <c:pt idx="237">
                  <c:v>0.06</c:v>
                </c:pt>
                <c:pt idx="238">
                  <c:v>0.00</c:v>
                </c:pt>
                <c:pt idx="239">
                  <c:v>0.10</c:v>
                </c:pt>
                <c:pt idx="240">
                  <c:v>0.59</c:v>
                </c:pt>
                <c:pt idx="241">
                  <c:v>1.00</c:v>
                </c:pt>
                <c:pt idx="242">
                  <c:v>0.49</c:v>
                </c:pt>
                <c:pt idx="243">
                  <c:v>0.30</c:v>
                </c:pt>
                <c:pt idx="244">
                  <c:v>0.49</c:v>
                </c:pt>
                <c:pt idx="245">
                  <c:v>0.75</c:v>
                </c:pt>
                <c:pt idx="246">
                  <c:v>0.92</c:v>
                </c:pt>
                <c:pt idx="247">
                  <c:v>0.71</c:v>
                </c:pt>
                <c:pt idx="248">
                  <c:v>0.67</c:v>
                </c:pt>
                <c:pt idx="249">
                  <c:v>0.64</c:v>
                </c:pt>
                <c:pt idx="250">
                  <c:v>0.54</c:v>
                </c:pt>
                <c:pt idx="251">
                  <c:v>0.62</c:v>
                </c:pt>
                <c:pt idx="252">
                  <c:v>0.89</c:v>
                </c:pt>
                <c:pt idx="253">
                  <c:v>0.90</c:v>
                </c:pt>
                <c:pt idx="254">
                  <c:v>0.87</c:v>
                </c:pt>
                <c:pt idx="255">
                  <c:v>0.92</c:v>
                </c:pt>
                <c:pt idx="256">
                  <c:v>0.96</c:v>
                </c:pt>
                <c:pt idx="257">
                  <c:v>1.27</c:v>
                </c:pt>
                <c:pt idx="258">
                  <c:v>1.20</c:v>
                </c:pt>
                <c:pt idx="259">
                  <c:v>1.04</c:v>
                </c:pt>
                <c:pt idx="260">
                  <c:v>0.75</c:v>
                </c:pt>
                <c:pt idx="261">
                  <c:v>0.71</c:v>
                </c:pt>
                <c:pt idx="262">
                  <c:v>0.71</c:v>
                </c:pt>
                <c:pt idx="263">
                  <c:v>1.32</c:v>
                </c:pt>
                <c:pt idx="264">
                  <c:v>1.54</c:v>
                </c:pt>
                <c:pt idx="265">
                  <c:v>1.52</c:v>
                </c:pt>
                <c:pt idx="266">
                  <c:v>1.49</c:v>
                </c:pt>
                <c:pt idx="267">
                  <c:v>1.67</c:v>
                </c:pt>
                <c:pt idx="268">
                  <c:v>1.81</c:v>
                </c:pt>
                <c:pt idx="269">
                  <c:v>2.09</c:v>
                </c:pt>
                <c:pt idx="270">
                  <c:v>2.17</c:v>
                </c:pt>
                <c:pt idx="271">
                  <c:v>2.58</c:v>
                </c:pt>
                <c:pt idx="272">
                  <c:v>2.25</c:v>
                </c:pt>
                <c:pt idx="273">
                  <c:v>2.18</c:v>
                </c:pt>
                <c:pt idx="274">
                  <c:v>2.23</c:v>
                </c:pt>
                <c:pt idx="275">
                  <c:v>2.51</c:v>
                </c:pt>
                <c:pt idx="276">
                  <c:v>2.53</c:v>
                </c:pt>
                <c:pt idx="277">
                  <c:v>2.40</c:v>
                </c:pt>
                <c:pt idx="278">
                  <c:v>2.24</c:v>
                </c:pt>
                <c:pt idx="279">
                  <c:v>2.07</c:v>
                </c:pt>
                <c:pt idx="280">
                  <c:v>2.02</c:v>
                </c:pt>
                <c:pt idx="281">
                  <c:v>2.17</c:v>
                </c:pt>
                <c:pt idx="282">
                  <c:v>2.16</c:v>
                </c:pt>
                <c:pt idx="283">
                  <c:v>2.22</c:v>
                </c:pt>
                <c:pt idx="284">
                  <c:v>2.28</c:v>
                </c:pt>
                <c:pt idx="285">
                  <c:v>2.34</c:v>
                </c:pt>
                <c:pt idx="286">
                  <c:v>2.17</c:v>
                </c:pt>
                <c:pt idx="287">
                  <c:v>2.16</c:v>
                </c:pt>
                <c:pt idx="288">
                  <c:v>2.57</c:v>
                </c:pt>
                <c:pt idx="289">
                  <c:v>2.54</c:v>
                </c:pt>
                <c:pt idx="290">
                  <c:v>2.37</c:v>
                </c:pt>
                <c:pt idx="291">
                  <c:v>2.32</c:v>
                </c:pt>
                <c:pt idx="292">
                  <c:v>2.08</c:v>
                </c:pt>
                <c:pt idx="293">
                  <c:v>2.11</c:v>
                </c:pt>
                <c:pt idx="294">
                  <c:v>2.10</c:v>
                </c:pt>
                <c:pt idx="295">
                  <c:v>2.02</c:v>
                </c:pt>
                <c:pt idx="296">
                  <c:v>2.06</c:v>
                </c:pt>
                <c:pt idx="297">
                  <c:v>2.92</c:v>
                </c:pt>
                <c:pt idx="298">
                  <c:v>3.00</c:v>
                </c:pt>
                <c:pt idx="299">
                  <c:v>2.94</c:v>
                </c:pt>
                <c:pt idx="300">
                  <c:v>3.12</c:v>
                </c:pt>
                <c:pt idx="301">
                  <c:v>3.57</c:v>
                </c:pt>
                <c:pt idx="302">
                  <c:v>2.70</c:v>
                </c:pt>
                <c:pt idx="303">
                  <c:v>3.31</c:v>
                </c:pt>
                <c:pt idx="304">
                  <c:v>3.43</c:v>
                </c:pt>
                <c:pt idx="305">
                  <c:v>3.57</c:v>
                </c:pt>
                <c:pt idx="306">
                  <c:v>3.31</c:v>
                </c:pt>
                <c:pt idx="307">
                  <c:v>3.03</c:v>
                </c:pt>
                <c:pt idx="308">
                  <c:v>2.62</c:v>
                </c:pt>
                <c:pt idx="309">
                  <c:v>2.65</c:v>
                </c:pt>
                <c:pt idx="310">
                  <c:v>2.23</c:v>
                </c:pt>
                <c:pt idx="311">
                  <c:v>2.16</c:v>
                </c:pt>
                <c:pt idx="312">
                  <c:v>2.15</c:v>
                </c:pt>
                <c:pt idx="313">
                  <c:v>2.37</c:v>
                </c:pt>
                <c:pt idx="314">
                  <c:v>2.18</c:v>
                </c:pt>
                <c:pt idx="315">
                  <c:v>2.45</c:v>
                </c:pt>
                <c:pt idx="316">
                  <c:v>2.56</c:v>
                </c:pt>
                <c:pt idx="317">
                  <c:v>2.63</c:v>
                </c:pt>
                <c:pt idx="318">
                  <c:v>2.58</c:v>
                </c:pt>
                <c:pt idx="319">
                  <c:v>2.45</c:v>
                </c:pt>
                <c:pt idx="320">
                  <c:v>2.62</c:v>
                </c:pt>
                <c:pt idx="321">
                  <c:v>2.66</c:v>
                </c:pt>
                <c:pt idx="322">
                  <c:v>2.70</c:v>
                </c:pt>
                <c:pt idx="323">
                  <c:v>2.53</c:v>
                </c:pt>
                <c:pt idx="324">
                  <c:v>2.56</c:v>
                </c:pt>
                <c:pt idx="325">
                  <c:v>2.55</c:v>
                </c:pt>
                <c:pt idx="326">
                  <c:v>2.74</c:v>
                </c:pt>
                <c:pt idx="327">
                  <c:v>2.72</c:v>
                </c:pt>
                <c:pt idx="328">
                  <c:v>2.83</c:v>
                </c:pt>
                <c:pt idx="329">
                  <c:v>2.97</c:v>
                </c:pt>
                <c:pt idx="330">
                  <c:v>3.04</c:v>
                </c:pt>
                <c:pt idx="331">
                  <c:v>2.96</c:v>
                </c:pt>
                <c:pt idx="332">
                  <c:v>3.11</c:v>
                </c:pt>
                <c:pt idx="333">
                  <c:v>3.43</c:v>
                </c:pt>
                <c:pt idx="334">
                  <c:v>3.55</c:v>
                </c:pt>
                <c:pt idx="335">
                  <c:v>3.70</c:v>
                </c:pt>
                <c:pt idx="336">
                  <c:v>3.58</c:v>
                </c:pt>
                <c:pt idx="337">
                  <c:v>3.44</c:v>
                </c:pt>
                <c:pt idx="338">
                  <c:v>3.35</c:v>
                </c:pt>
                <c:pt idx="339">
                  <c:v>3.23</c:v>
                </c:pt>
                <c:pt idx="340">
                  <c:v>3.37</c:v>
                </c:pt>
                <c:pt idx="341">
                  <c:v>3.43</c:v>
                </c:pt>
                <c:pt idx="342">
                  <c:v>3.48</c:v>
                </c:pt>
                <c:pt idx="343">
                  <c:v>3.59</c:v>
                </c:pt>
                <c:pt idx="344">
                  <c:v>3.49</c:v>
                </c:pt>
                <c:pt idx="345">
                  <c:v>3.31</c:v>
                </c:pt>
                <c:pt idx="346">
                  <c:v>3.30</c:v>
                </c:pt>
                <c:pt idx="347">
                  <c:v>3.23</c:v>
                </c:pt>
                <c:pt idx="348">
                  <c:v>3.27</c:v>
                </c:pt>
                <c:pt idx="349">
                  <c:v>3.35</c:v>
                </c:pt>
                <c:pt idx="350">
                  <c:v>3.32</c:v>
                </c:pt>
                <c:pt idx="351">
                  <c:v>3.16</c:v>
                </c:pt>
                <c:pt idx="352">
                  <c:v>3.20</c:v>
                </c:pt>
                <c:pt idx="353">
                  <c:v>3.36</c:v>
                </c:pt>
                <c:pt idx="354">
                  <c:v>3.36</c:v>
                </c:pt>
                <c:pt idx="355">
                  <c:v>3.42</c:v>
                </c:pt>
                <c:pt idx="356">
                  <c:v>3.48</c:v>
                </c:pt>
                <c:pt idx="357">
                  <c:v>3.41</c:v>
                </c:pt>
                <c:pt idx="358">
                  <c:v>3.31</c:v>
                </c:pt>
                <c:pt idx="359">
                  <c:v>3.25</c:v>
                </c:pt>
                <c:pt idx="360">
                  <c:v>3.28</c:v>
                </c:pt>
                <c:pt idx="361">
                  <c:v>3.44</c:v>
                </c:pt>
                <c:pt idx="362">
                  <c:v>3.52</c:v>
                </c:pt>
                <c:pt idx="363">
                  <c:v>3.69</c:v>
                </c:pt>
                <c:pt idx="364">
                  <c:v>3.75</c:v>
                </c:pt>
                <c:pt idx="365">
                  <c:v>3.77</c:v>
                </c:pt>
                <c:pt idx="366">
                  <c:v>3.72</c:v>
                </c:pt>
                <c:pt idx="367">
                  <c:v>3.60</c:v>
                </c:pt>
                <c:pt idx="368">
                  <c:v>3.59</c:v>
                </c:pt>
                <c:pt idx="369">
                  <c:v>3.56</c:v>
                </c:pt>
                <c:pt idx="370">
                  <c:v>3.58</c:v>
                </c:pt>
                <c:pt idx="371">
                  <c:v>3.64</c:v>
                </c:pt>
                <c:pt idx="372">
                  <c:v>3.57</c:v>
                </c:pt>
                <c:pt idx="373">
                  <c:v>3.49</c:v>
                </c:pt>
                <c:pt idx="374">
                  <c:v>3.56</c:v>
                </c:pt>
                <c:pt idx="375">
                  <c:v>3.52</c:v>
                </c:pt>
                <c:pt idx="376">
                  <c:v>3.65</c:v>
                </c:pt>
                <c:pt idx="377">
                  <c:v>3.73</c:v>
                </c:pt>
                <c:pt idx="378">
                  <c:v>3.77</c:v>
                </c:pt>
                <c:pt idx="379">
                  <c:v>3.69</c:v>
                </c:pt>
                <c:pt idx="380">
                  <c:v>3.65</c:v>
                </c:pt>
                <c:pt idx="381">
                  <c:v>3.60</c:v>
                </c:pt>
                <c:pt idx="382">
                  <c:v>3.42</c:v>
                </c:pt>
                <c:pt idx="383">
                  <c:v>3.38</c:v>
                </c:pt>
                <c:pt idx="384">
                  <c:v>3.16</c:v>
                </c:pt>
                <c:pt idx="385">
                  <c:v>3.08</c:v>
                </c:pt>
                <c:pt idx="386">
                  <c:v>3.16</c:v>
                </c:pt>
                <c:pt idx="387">
                  <c:v>3.12</c:v>
                </c:pt>
                <c:pt idx="388">
                  <c:v>3.17</c:v>
                </c:pt>
                <c:pt idx="389">
                  <c:v>3.04</c:v>
                </c:pt>
                <c:pt idx="390">
                  <c:v>2.82</c:v>
                </c:pt>
                <c:pt idx="391">
                  <c:v>2.86</c:v>
                </c:pt>
                <c:pt idx="392">
                  <c:v>2.90</c:v>
                </c:pt>
                <c:pt idx="393">
                  <c:v>2.81</c:v>
                </c:pt>
                <c:pt idx="394">
                  <c:v>2.87</c:v>
                </c:pt>
                <c:pt idx="395">
                  <c:v>2.78</c:v>
                </c:pt>
                <c:pt idx="396">
                  <c:v>2.61</c:v>
                </c:pt>
                <c:pt idx="397">
                  <c:v>2.45</c:v>
                </c:pt>
                <c:pt idx="398">
                  <c:v>2.40</c:v>
                </c:pt>
                <c:pt idx="399">
                  <c:v>2.45</c:v>
                </c:pt>
                <c:pt idx="400">
                  <c:v>2.57</c:v>
                </c:pt>
                <c:pt idx="401">
                  <c:v>2.59</c:v>
                </c:pt>
                <c:pt idx="402">
                  <c:v>2.45</c:v>
                </c:pt>
                <c:pt idx="403">
                  <c:v>2.36</c:v>
                </c:pt>
                <c:pt idx="404">
                  <c:v>2.32</c:v>
                </c:pt>
                <c:pt idx="405">
                  <c:v>2.36</c:v>
                </c:pt>
                <c:pt idx="406">
                  <c:v>2.40</c:v>
                </c:pt>
                <c:pt idx="407">
                  <c:v>2.54</c:v>
                </c:pt>
                <c:pt idx="408">
                  <c:v>2.48</c:v>
                </c:pt>
                <c:pt idx="409">
                  <c:v>2.55</c:v>
                </c:pt>
                <c:pt idx="410">
                  <c:v>2.75</c:v>
                </c:pt>
                <c:pt idx="411">
                  <c:v>2.68</c:v>
                </c:pt>
                <c:pt idx="412">
                  <c:v>2.77</c:v>
                </c:pt>
                <c:pt idx="413">
                  <c:v>3.04</c:v>
                </c:pt>
                <c:pt idx="414">
                  <c:v>3.28</c:v>
                </c:pt>
                <c:pt idx="415">
                  <c:v>3.23</c:v>
                </c:pt>
                <c:pt idx="416">
                  <c:v>3.24</c:v>
                </c:pt>
                <c:pt idx="417">
                  <c:v>3.26</c:v>
                </c:pt>
                <c:pt idx="418">
                  <c:v>3.21</c:v>
                </c:pt>
                <c:pt idx="419">
                  <c:v>3.26</c:v>
                </c:pt>
                <c:pt idx="420">
                  <c:v>3.24</c:v>
                </c:pt>
                <c:pt idx="421">
                  <c:v>3.39</c:v>
                </c:pt>
                <c:pt idx="422">
                  <c:v>3.54</c:v>
                </c:pt>
                <c:pt idx="423">
                  <c:v>3.49</c:v>
                </c:pt>
                <c:pt idx="424">
                  <c:v>3.33</c:v>
                </c:pt>
                <c:pt idx="425">
                  <c:v>3.34</c:v>
                </c:pt>
                <c:pt idx="426">
                  <c:v>3.36</c:v>
                </c:pt>
                <c:pt idx="427">
                  <c:v>3.20</c:v>
                </c:pt>
                <c:pt idx="428">
                  <c:v>3.29</c:v>
                </c:pt>
                <c:pt idx="429">
                  <c:v>3.38</c:v>
                </c:pt>
                <c:pt idx="430">
                  <c:v>3.49</c:v>
                </c:pt>
                <c:pt idx="431">
                  <c:v>3.45</c:v>
                </c:pt>
                <c:pt idx="432">
                  <c:v>3.35</c:v>
                </c:pt>
                <c:pt idx="433">
                  <c:v>3.30</c:v>
                </c:pt>
                <c:pt idx="434">
                  <c:v>3.21</c:v>
                </c:pt>
                <c:pt idx="435">
                  <c:v>3.17</c:v>
                </c:pt>
                <c:pt idx="436">
                  <c:v>3.10</c:v>
                </c:pt>
                <c:pt idx="437">
                  <c:v>3.04</c:v>
                </c:pt>
                <c:pt idx="438">
                  <c:v>2.96</c:v>
                </c:pt>
                <c:pt idx="439">
                  <c:v>2.95</c:v>
                </c:pt>
                <c:pt idx="440">
                  <c:v>2.94</c:v>
                </c:pt>
                <c:pt idx="441">
                  <c:v>2.94</c:v>
                </c:pt>
                <c:pt idx="442">
                  <c:v>3.09</c:v>
                </c:pt>
                <c:pt idx="443">
                  <c:v>3.10</c:v>
                </c:pt>
                <c:pt idx="444">
                  <c:v>2.92</c:v>
                </c:pt>
                <c:pt idx="445">
                  <c:v>2.94</c:v>
                </c:pt>
                <c:pt idx="446">
                  <c:v>2.90</c:v>
                </c:pt>
                <c:pt idx="447">
                  <c:v>2.58</c:v>
                </c:pt>
                <c:pt idx="448">
                  <c:v>2.24</c:v>
                </c:pt>
                <c:pt idx="449">
                  <c:v>2.15</c:v>
                </c:pt>
                <c:pt idx="450">
                  <c:v>2.18</c:v>
                </c:pt>
                <c:pt idx="451">
                  <c:v>2.15</c:v>
                </c:pt>
                <c:pt idx="452">
                  <c:v>1.97</c:v>
                </c:pt>
                <c:pt idx="453">
                  <c:v>2.02</c:v>
                </c:pt>
                <c:pt idx="454">
                  <c:v>1.86</c:v>
                </c:pt>
                <c:pt idx="455">
                  <c:v>1.95</c:v>
                </c:pt>
                <c:pt idx="456">
                  <c:v>1.92</c:v>
                </c:pt>
                <c:pt idx="457">
                  <c:v>2.20</c:v>
                </c:pt>
                <c:pt idx="458">
                  <c:v>2.17</c:v>
                </c:pt>
                <c:pt idx="459">
                  <c:v>2.26</c:v>
                </c:pt>
                <c:pt idx="460">
                  <c:v>2.06</c:v>
                </c:pt>
                <c:pt idx="461">
                  <c:v>2.04</c:v>
                </c:pt>
                <c:pt idx="462">
                  <c:v>2.01</c:v>
                </c:pt>
                <c:pt idx="463">
                  <c:v>1.92</c:v>
                </c:pt>
                <c:pt idx="464">
                  <c:v>2.02</c:v>
                </c:pt>
                <c:pt idx="465">
                  <c:v>2.03</c:v>
                </c:pt>
                <c:pt idx="466">
                  <c:v>1.93</c:v>
                </c:pt>
                <c:pt idx="467">
                  <c:v>1.94</c:v>
                </c:pt>
                <c:pt idx="468">
                  <c:v>1.92</c:v>
                </c:pt>
                <c:pt idx="469">
                  <c:v>1.97</c:v>
                </c:pt>
                <c:pt idx="470">
                  <c:v>1.93</c:v>
                </c:pt>
                <c:pt idx="471">
                  <c:v>1.92</c:v>
                </c:pt>
                <c:pt idx="472">
                  <c:v>1.96</c:v>
                </c:pt>
                <c:pt idx="473">
                  <c:v>1.81</c:v>
                </c:pt>
                <c:pt idx="474">
                  <c:v>1.90</c:v>
                </c:pt>
                <c:pt idx="475">
                  <c:v>1.86</c:v>
                </c:pt>
                <c:pt idx="476">
                  <c:v>1.92</c:v>
                </c:pt>
                <c:pt idx="477">
                  <c:v>1.88</c:v>
                </c:pt>
                <c:pt idx="478">
                  <c:v>1.92</c:v>
                </c:pt>
                <c:pt idx="479">
                  <c:v>2.12</c:v>
                </c:pt>
                <c:pt idx="480">
                  <c:v>2.23</c:v>
                </c:pt>
                <c:pt idx="481">
                  <c:v>2.14</c:v>
                </c:pt>
                <c:pt idx="482">
                  <c:v>2.13</c:v>
                </c:pt>
                <c:pt idx="483">
                  <c:v>1.95</c:v>
                </c:pt>
                <c:pt idx="484">
                  <c:v>1.92</c:v>
                </c:pt>
                <c:pt idx="485">
                  <c:v>1.89</c:v>
                </c:pt>
                <c:pt idx="486">
                  <c:v>1.86</c:v>
                </c:pt>
                <c:pt idx="487">
                  <c:v>1.78</c:v>
                </c:pt>
                <c:pt idx="488">
                  <c:v>1.65</c:v>
                </c:pt>
                <c:pt idx="489">
                  <c:v>1.67</c:v>
                </c:pt>
                <c:pt idx="490">
                  <c:v>1.53</c:v>
                </c:pt>
                <c:pt idx="491">
                  <c:v>1.52</c:v>
                </c:pt>
                <c:pt idx="492">
                  <c:v>1.52</c:v>
                </c:pt>
                <c:pt idx="493">
                  <c:v>1.55</c:v>
                </c:pt>
                <c:pt idx="494">
                  <c:v>1.55</c:v>
                </c:pt>
                <c:pt idx="495">
                  <c:v>1.52</c:v>
                </c:pt>
                <c:pt idx="496">
                  <c:v>1.42</c:v>
                </c:pt>
                <c:pt idx="497">
                  <c:v>1.43</c:v>
                </c:pt>
                <c:pt idx="498">
                  <c:v>1.37</c:v>
                </c:pt>
                <c:pt idx="499">
                  <c:v>1.44</c:v>
                </c:pt>
              </c:strCache>
            </c:strRef>
          </c:cat>
          <c:val>
            <c:numRef>
              <c:f>'Aggregated Scrubbed'!$U$3:$U$502</c:f>
              <c:numCache>
                <c:formatCode>General</c:formatCode>
                <c:ptCount val="500"/>
                <c:pt idx="0">
                  <c:v>2.92</c:v>
                </c:pt>
                <c:pt idx="1">
                  <c:v>2.93</c:v>
                </c:pt>
                <c:pt idx="2">
                  <c:v>2.82</c:v>
                </c:pt>
                <c:pt idx="3">
                  <c:v>2.85</c:v>
                </c:pt>
                <c:pt idx="4">
                  <c:v>2.83</c:v>
                </c:pt>
                <c:pt idx="5">
                  <c:v>2.79</c:v>
                </c:pt>
                <c:pt idx="6">
                  <c:v>2.72</c:v>
                </c:pt>
                <c:pt idx="7">
                  <c:v>2.59</c:v>
                </c:pt>
                <c:pt idx="8">
                  <c:v>2.5</c:v>
                </c:pt>
                <c:pt idx="9">
                  <c:v>2.56</c:v>
                </c:pt>
                <c:pt idx="10">
                  <c:v>2.83</c:v>
                </c:pt>
                <c:pt idx="11">
                  <c:v>2.81</c:v>
                </c:pt>
                <c:pt idx="12">
                  <c:v>2.8</c:v>
                </c:pt>
                <c:pt idx="13">
                  <c:v>2.84</c:v>
                </c:pt>
                <c:pt idx="14">
                  <c:v>2.83</c:v>
                </c:pt>
                <c:pt idx="15">
                  <c:v>2.83</c:v>
                </c:pt>
                <c:pt idx="16">
                  <c:v>2.81</c:v>
                </c:pt>
                <c:pt idx="17">
                  <c:v>2.68</c:v>
                </c:pt>
                <c:pt idx="18">
                  <c:v>2.51</c:v>
                </c:pt>
                <c:pt idx="19">
                  <c:v>2.34</c:v>
                </c:pt>
                <c:pt idx="20">
                  <c:v>2.3</c:v>
                </c:pt>
                <c:pt idx="21">
                  <c:v>2.31</c:v>
                </c:pt>
                <c:pt idx="22">
                  <c:v>2.28</c:v>
                </c:pt>
                <c:pt idx="23">
                  <c:v>2.47</c:v>
                </c:pt>
                <c:pt idx="24">
                  <c:v>2.56</c:v>
                </c:pt>
                <c:pt idx="25">
                  <c:v>2.71</c:v>
                </c:pt>
                <c:pt idx="26">
                  <c:v>2.84</c:v>
                </c:pt>
                <c:pt idx="27">
                  <c:v>3.04</c:v>
                </c:pt>
                <c:pt idx="28">
                  <c:v>3.27</c:v>
                </c:pt>
                <c:pt idx="29">
                  <c:v>3.45</c:v>
                </c:pt>
                <c:pt idx="30">
                  <c:v>3.4</c:v>
                </c:pt>
                <c:pt idx="31">
                  <c:v>3.55</c:v>
                </c:pt>
                <c:pt idx="32">
                  <c:v>3.52</c:v>
                </c:pt>
                <c:pt idx="33">
                  <c:v>3.51</c:v>
                </c:pt>
                <c:pt idx="34">
                  <c:v>3.57</c:v>
                </c:pt>
                <c:pt idx="35">
                  <c:v>3.4</c:v>
                </c:pt>
                <c:pt idx="36">
                  <c:v>3.3</c:v>
                </c:pt>
                <c:pt idx="37">
                  <c:v>3.23</c:v>
                </c:pt>
                <c:pt idx="38">
                  <c:v>3.12</c:v>
                </c:pt>
                <c:pt idx="39">
                  <c:v>3.36</c:v>
                </c:pt>
                <c:pt idx="40">
                  <c:v>3.51</c:v>
                </c:pt>
                <c:pt idx="41">
                  <c:v>3.4</c:v>
                </c:pt>
                <c:pt idx="42">
                  <c:v>3.37</c:v>
                </c:pt>
                <c:pt idx="43">
                  <c:v>3.47</c:v>
                </c:pt>
                <c:pt idx="44">
                  <c:v>3.43</c:v>
                </c:pt>
                <c:pt idx="45">
                  <c:v>3.25</c:v>
                </c:pt>
                <c:pt idx="46">
                  <c:v>3.32</c:v>
                </c:pt>
                <c:pt idx="47">
                  <c:v>3.44</c:v>
                </c:pt>
                <c:pt idx="48">
                  <c:v>3.39</c:v>
                </c:pt>
                <c:pt idx="49">
                  <c:v>3.32</c:v>
                </c:pt>
                <c:pt idx="50">
                  <c:v>3.33</c:v>
                </c:pt>
                <c:pt idx="51">
                  <c:v>3.39</c:v>
                </c:pt>
                <c:pt idx="52">
                  <c:v>3.39</c:v>
                </c:pt>
                <c:pt idx="53">
                  <c:v>3.17</c:v>
                </c:pt>
                <c:pt idx="54">
                  <c:v>3.18</c:v>
                </c:pt>
                <c:pt idx="55">
                  <c:v>3.27</c:v>
                </c:pt>
                <c:pt idx="56">
                  <c:v>3.24</c:v>
                </c:pt>
                <c:pt idx="57">
                  <c:v>3.16</c:v>
                </c:pt>
                <c:pt idx="58">
                  <c:v>3.14</c:v>
                </c:pt>
                <c:pt idx="59">
                  <c:v>3.09</c:v>
                </c:pt>
                <c:pt idx="60">
                  <c:v>3.06</c:v>
                </c:pt>
                <c:pt idx="61">
                  <c:v>2.81</c:v>
                </c:pt>
                <c:pt idx="62">
                  <c:v>2.82</c:v>
                </c:pt>
                <c:pt idx="63">
                  <c:v>2.83</c:v>
                </c:pt>
                <c:pt idx="64">
                  <c:v>3.02</c:v>
                </c:pt>
                <c:pt idx="65">
                  <c:v>3.28</c:v>
                </c:pt>
                <c:pt idx="66">
                  <c:v>3.43</c:v>
                </c:pt>
                <c:pt idx="67">
                  <c:v>3.47</c:v>
                </c:pt>
                <c:pt idx="68">
                  <c:v>3.53</c:v>
                </c:pt>
                <c:pt idx="69">
                  <c:v>3.62</c:v>
                </c:pt>
                <c:pt idx="70">
                  <c:v>3.79</c:v>
                </c:pt>
                <c:pt idx="71">
                  <c:v>3.71</c:v>
                </c:pt>
                <c:pt idx="72">
                  <c:v>3.62</c:v>
                </c:pt>
                <c:pt idx="73">
                  <c:v>3.58</c:v>
                </c:pt>
                <c:pt idx="74">
                  <c:v>3.55</c:v>
                </c:pt>
                <c:pt idx="75">
                  <c:v>3.45</c:v>
                </c:pt>
                <c:pt idx="76">
                  <c:v>3.4</c:v>
                </c:pt>
                <c:pt idx="77">
                  <c:v>3.33</c:v>
                </c:pt>
                <c:pt idx="78">
                  <c:v>3.21</c:v>
                </c:pt>
                <c:pt idx="79">
                  <c:v>3.15</c:v>
                </c:pt>
                <c:pt idx="80">
                  <c:v>3.12</c:v>
                </c:pt>
                <c:pt idx="81">
                  <c:v>3.13</c:v>
                </c:pt>
                <c:pt idx="82">
                  <c:v>2.96</c:v>
                </c:pt>
                <c:pt idx="83">
                  <c:v>2.84</c:v>
                </c:pt>
                <c:pt idx="84">
                  <c:v>2.77</c:v>
                </c:pt>
                <c:pt idx="85">
                  <c:v>2.73</c:v>
                </c:pt>
                <c:pt idx="86">
                  <c:v>2.61</c:v>
                </c:pt>
                <c:pt idx="87">
                  <c:v>2.58</c:v>
                </c:pt>
                <c:pt idx="88">
                  <c:v>2.49</c:v>
                </c:pt>
                <c:pt idx="89">
                  <c:v>2.35</c:v>
                </c:pt>
                <c:pt idx="90">
                  <c:v>2.41</c:v>
                </c:pt>
                <c:pt idx="91">
                  <c:v>2.52</c:v>
                </c:pt>
                <c:pt idx="92">
                  <c:v>2.38</c:v>
                </c:pt>
                <c:pt idx="93">
                  <c:v>2.23</c:v>
                </c:pt>
                <c:pt idx="94">
                  <c:v>2.18</c:v>
                </c:pt>
                <c:pt idx="95">
                  <c:v>2.17</c:v>
                </c:pt>
                <c:pt idx="96">
                  <c:v>2.18</c:v>
                </c:pt>
                <c:pt idx="97">
                  <c:v>2.08</c:v>
                </c:pt>
                <c:pt idx="98">
                  <c:v>2.05</c:v>
                </c:pt>
                <c:pt idx="99">
                  <c:v>2.16</c:v>
                </c:pt>
                <c:pt idx="100">
                  <c:v>1.98</c:v>
                </c:pt>
                <c:pt idx="101">
                  <c:v>1.98</c:v>
                </c:pt>
                <c:pt idx="102">
                  <c:v>2.04</c:v>
                </c:pt>
                <c:pt idx="103">
                  <c:v>2.09</c:v>
                </c:pt>
                <c:pt idx="104">
                  <c:v>1.99</c:v>
                </c:pt>
                <c:pt idx="105">
                  <c:v>1.94</c:v>
                </c:pt>
                <c:pt idx="106">
                  <c:v>1.86</c:v>
                </c:pt>
                <c:pt idx="107">
                  <c:v>1.81</c:v>
                </c:pt>
                <c:pt idx="108">
                  <c:v>1.68</c:v>
                </c:pt>
                <c:pt idx="109">
                  <c:v>1.58</c:v>
                </c:pt>
                <c:pt idx="110">
                  <c:v>1.62</c:v>
                </c:pt>
                <c:pt idx="111">
                  <c:v>1.63</c:v>
                </c:pt>
                <c:pt idx="112">
                  <c:v>1.67</c:v>
                </c:pt>
                <c:pt idx="113">
                  <c:v>1.75</c:v>
                </c:pt>
                <c:pt idx="114">
                  <c:v>1.77</c:v>
                </c:pt>
                <c:pt idx="115">
                  <c:v>1.79</c:v>
                </c:pt>
                <c:pt idx="116">
                  <c:v>1.79</c:v>
                </c:pt>
                <c:pt idx="117">
                  <c:v>1.75</c:v>
                </c:pt>
                <c:pt idx="118">
                  <c:v>1.65</c:v>
                </c:pt>
                <c:pt idx="119">
                  <c:v>1.42</c:v>
                </c:pt>
                <c:pt idx="120">
                  <c:v>1.39</c:v>
                </c:pt>
                <c:pt idx="121">
                  <c:v>1.4</c:v>
                </c:pt>
                <c:pt idx="122">
                  <c:v>1.39</c:v>
                </c:pt>
                <c:pt idx="123">
                  <c:v>1.29</c:v>
                </c:pt>
                <c:pt idx="124">
                  <c:v>1.18</c:v>
                </c:pt>
                <c:pt idx="125">
                  <c:v>1.03</c:v>
                </c:pt>
                <c:pt idx="126">
                  <c:v>1.02</c:v>
                </c:pt>
                <c:pt idx="127">
                  <c:v>1.16</c:v>
                </c:pt>
                <c:pt idx="128">
                  <c:v>1.02</c:v>
                </c:pt>
                <c:pt idx="129">
                  <c:v>0.89</c:v>
                </c:pt>
                <c:pt idx="130">
                  <c:v>0.98</c:v>
                </c:pt>
                <c:pt idx="131">
                  <c:v>1.01</c:v>
                </c:pt>
                <c:pt idx="132">
                  <c:v>0.97</c:v>
                </c:pt>
                <c:pt idx="133">
                  <c:v>0.9</c:v>
                </c:pt>
                <c:pt idx="134">
                  <c:v>0.93</c:v>
                </c:pt>
                <c:pt idx="135">
                  <c:v>0.92</c:v>
                </c:pt>
                <c:pt idx="136">
                  <c:v>0.79</c:v>
                </c:pt>
                <c:pt idx="137">
                  <c:v>0.74</c:v>
                </c:pt>
                <c:pt idx="138">
                  <c:v>0.66</c:v>
                </c:pt>
                <c:pt idx="139">
                  <c:v>0.71</c:v>
                </c:pt>
                <c:pt idx="140">
                  <c:v>0.79</c:v>
                </c:pt>
                <c:pt idx="141">
                  <c:v>0.79</c:v>
                </c:pt>
                <c:pt idx="142">
                  <c:v>0.86</c:v>
                </c:pt>
                <c:pt idx="143">
                  <c:v>0.84</c:v>
                </c:pt>
                <c:pt idx="144">
                  <c:v>0.79</c:v>
                </c:pt>
                <c:pt idx="145">
                  <c:v>0.69</c:v>
                </c:pt>
                <c:pt idx="146">
                  <c:v>0.73</c:v>
                </c:pt>
                <c:pt idx="147">
                  <c:v>0.74</c:v>
                </c:pt>
                <c:pt idx="148">
                  <c:v>0.72</c:v>
                </c:pt>
                <c:pt idx="149">
                  <c:v>0.6</c:v>
                </c:pt>
                <c:pt idx="150">
                  <c:v>0.58</c:v>
                </c:pt>
                <c:pt idx="151">
                  <c:v>0.600000000000001</c:v>
                </c:pt>
                <c:pt idx="152">
                  <c:v>0.609999999999999</c:v>
                </c:pt>
                <c:pt idx="153">
                  <c:v>0.66</c:v>
                </c:pt>
                <c:pt idx="154">
                  <c:v>0.56</c:v>
                </c:pt>
                <c:pt idx="155">
                  <c:v>0.45</c:v>
                </c:pt>
                <c:pt idx="156">
                  <c:v>0.27</c:v>
                </c:pt>
                <c:pt idx="157">
                  <c:v>0.21</c:v>
                </c:pt>
                <c:pt idx="158">
                  <c:v>0.100000000000001</c:v>
                </c:pt>
                <c:pt idx="159">
                  <c:v>0.14</c:v>
                </c:pt>
                <c:pt idx="160">
                  <c:v>0.18</c:v>
                </c:pt>
                <c:pt idx="161">
                  <c:v>0.159999999999999</c:v>
                </c:pt>
                <c:pt idx="162">
                  <c:v>0.15</c:v>
                </c:pt>
                <c:pt idx="163">
                  <c:v>0.0899999999999999</c:v>
                </c:pt>
                <c:pt idx="164">
                  <c:v>0.11</c:v>
                </c:pt>
                <c:pt idx="165">
                  <c:v>0.25</c:v>
                </c:pt>
                <c:pt idx="166">
                  <c:v>0.21</c:v>
                </c:pt>
                <c:pt idx="167">
                  <c:v>0.130000000000001</c:v>
                </c:pt>
                <c:pt idx="168">
                  <c:v>0.29</c:v>
                </c:pt>
                <c:pt idx="169">
                  <c:v>0.33</c:v>
                </c:pt>
                <c:pt idx="170">
                  <c:v>0.4</c:v>
                </c:pt>
                <c:pt idx="171">
                  <c:v>0.409999999999999</c:v>
                </c:pt>
                <c:pt idx="172">
                  <c:v>0.41</c:v>
                </c:pt>
                <c:pt idx="173">
                  <c:v>0.449999999999999</c:v>
                </c:pt>
                <c:pt idx="174">
                  <c:v>0.4</c:v>
                </c:pt>
                <c:pt idx="175">
                  <c:v>0.4</c:v>
                </c:pt>
                <c:pt idx="176">
                  <c:v>0.34</c:v>
                </c:pt>
                <c:pt idx="177">
                  <c:v>0.36</c:v>
                </c:pt>
                <c:pt idx="178">
                  <c:v>0.27</c:v>
                </c:pt>
                <c:pt idx="179">
                  <c:v>0.29</c:v>
                </c:pt>
                <c:pt idx="180">
                  <c:v>0.37</c:v>
                </c:pt>
                <c:pt idx="181">
                  <c:v>0.33</c:v>
                </c:pt>
                <c:pt idx="182">
                  <c:v>0.279999999999999</c:v>
                </c:pt>
                <c:pt idx="183">
                  <c:v>0.17</c:v>
                </c:pt>
                <c:pt idx="184">
                  <c:v>0.100000000000001</c:v>
                </c:pt>
                <c:pt idx="185">
                  <c:v>0.0800000000000001</c:v>
                </c:pt>
                <c:pt idx="186">
                  <c:v>-0.00999999999999979</c:v>
                </c:pt>
                <c:pt idx="187">
                  <c:v>-0.00999999999999979</c:v>
                </c:pt>
                <c:pt idx="188">
                  <c:v>-0.0699999999999994</c:v>
                </c:pt>
                <c:pt idx="189">
                  <c:v>-0.16</c:v>
                </c:pt>
                <c:pt idx="190">
                  <c:v>-0.17</c:v>
                </c:pt>
                <c:pt idx="191">
                  <c:v>-0.0499999999999998</c:v>
                </c:pt>
                <c:pt idx="192">
                  <c:v>-0.0199999999999996</c:v>
                </c:pt>
                <c:pt idx="193">
                  <c:v>-0.0999999999999996</c:v>
                </c:pt>
                <c:pt idx="194">
                  <c:v>-0.16</c:v>
                </c:pt>
                <c:pt idx="195">
                  <c:v>-0.17</c:v>
                </c:pt>
                <c:pt idx="196">
                  <c:v>-0.12</c:v>
                </c:pt>
                <c:pt idx="197">
                  <c:v>-0.18</c:v>
                </c:pt>
                <c:pt idx="198">
                  <c:v>-0.220000000000001</c:v>
                </c:pt>
                <c:pt idx="199">
                  <c:v>-0.31</c:v>
                </c:pt>
                <c:pt idx="200">
                  <c:v>-0.32</c:v>
                </c:pt>
                <c:pt idx="201">
                  <c:v>-0.35</c:v>
                </c:pt>
                <c:pt idx="202">
                  <c:v>-0.35</c:v>
                </c:pt>
                <c:pt idx="203">
                  <c:v>-0.42</c:v>
                </c:pt>
                <c:pt idx="204">
                  <c:v>-0.38</c:v>
                </c:pt>
                <c:pt idx="205">
                  <c:v>-0.25</c:v>
                </c:pt>
                <c:pt idx="206">
                  <c:v>-0.24</c:v>
                </c:pt>
                <c:pt idx="207">
                  <c:v>-0.2</c:v>
                </c:pt>
                <c:pt idx="208">
                  <c:v>-0.26</c:v>
                </c:pt>
                <c:pt idx="209">
                  <c:v>-0.26</c:v>
                </c:pt>
                <c:pt idx="210">
                  <c:v>-0.220000000000001</c:v>
                </c:pt>
                <c:pt idx="211">
                  <c:v>-0.17</c:v>
                </c:pt>
                <c:pt idx="212">
                  <c:v>-0.14</c:v>
                </c:pt>
                <c:pt idx="213">
                  <c:v>-0.25</c:v>
                </c:pt>
                <c:pt idx="214">
                  <c:v>-0.28</c:v>
                </c:pt>
                <c:pt idx="215">
                  <c:v>-0.35</c:v>
                </c:pt>
                <c:pt idx="216">
                  <c:v>-0.46</c:v>
                </c:pt>
                <c:pt idx="217">
                  <c:v>-0.44</c:v>
                </c:pt>
                <c:pt idx="218">
                  <c:v>-0.39</c:v>
                </c:pt>
                <c:pt idx="219">
                  <c:v>-0.34</c:v>
                </c:pt>
                <c:pt idx="220">
                  <c:v>-0.29</c:v>
                </c:pt>
                <c:pt idx="221">
                  <c:v>-0.23</c:v>
                </c:pt>
                <c:pt idx="222">
                  <c:v>-0.15</c:v>
                </c:pt>
                <c:pt idx="223">
                  <c:v>-0.17</c:v>
                </c:pt>
                <c:pt idx="224">
                  <c:v>-0.16</c:v>
                </c:pt>
                <c:pt idx="225">
                  <c:v>-0.119999999999999</c:v>
                </c:pt>
                <c:pt idx="226">
                  <c:v>-0.0999999999999996</c:v>
                </c:pt>
                <c:pt idx="227">
                  <c:v>0.0499999999999998</c:v>
                </c:pt>
                <c:pt idx="228">
                  <c:v>0.0700000000000003</c:v>
                </c:pt>
                <c:pt idx="229">
                  <c:v>0.220000000000001</c:v>
                </c:pt>
                <c:pt idx="230">
                  <c:v>0.35</c:v>
                </c:pt>
                <c:pt idx="231">
                  <c:v>0.67</c:v>
                </c:pt>
                <c:pt idx="232">
                  <c:v>0.58</c:v>
                </c:pt>
                <c:pt idx="233">
                  <c:v>0.42</c:v>
                </c:pt>
                <c:pt idx="234">
                  <c:v>0.29</c:v>
                </c:pt>
                <c:pt idx="235">
                  <c:v>0.279999999999999</c:v>
                </c:pt>
                <c:pt idx="236">
                  <c:v>0.2</c:v>
                </c:pt>
                <c:pt idx="237">
                  <c:v>0.0599999999999996</c:v>
                </c:pt>
                <c:pt idx="238">
                  <c:v>0</c:v>
                </c:pt>
                <c:pt idx="239">
                  <c:v>0.0999999999999996</c:v>
                </c:pt>
                <c:pt idx="240">
                  <c:v>0.59</c:v>
                </c:pt>
                <c:pt idx="241">
                  <c:v>1</c:v>
                </c:pt>
                <c:pt idx="242">
                  <c:v>0.49</c:v>
                </c:pt>
                <c:pt idx="243">
                  <c:v>0.300000000000001</c:v>
                </c:pt>
                <c:pt idx="244">
                  <c:v>0.49</c:v>
                </c:pt>
                <c:pt idx="245">
                  <c:v>0.75</c:v>
                </c:pt>
                <c:pt idx="246">
                  <c:v>0.92</c:v>
                </c:pt>
                <c:pt idx="247">
                  <c:v>0.71</c:v>
                </c:pt>
                <c:pt idx="248">
                  <c:v>0.67</c:v>
                </c:pt>
                <c:pt idx="249">
                  <c:v>0.64</c:v>
                </c:pt>
                <c:pt idx="250">
                  <c:v>0.54</c:v>
                </c:pt>
                <c:pt idx="251">
                  <c:v>0.62</c:v>
                </c:pt>
                <c:pt idx="252">
                  <c:v>0.89</c:v>
                </c:pt>
                <c:pt idx="253">
                  <c:v>0.9</c:v>
                </c:pt>
                <c:pt idx="254">
                  <c:v>0.87</c:v>
                </c:pt>
                <c:pt idx="255">
                  <c:v>0.92</c:v>
                </c:pt>
                <c:pt idx="256">
                  <c:v>0.96</c:v>
                </c:pt>
                <c:pt idx="257">
                  <c:v>1.27</c:v>
                </c:pt>
                <c:pt idx="258">
                  <c:v>1.2</c:v>
                </c:pt>
                <c:pt idx="259">
                  <c:v>1.04</c:v>
                </c:pt>
                <c:pt idx="260">
                  <c:v>0.75</c:v>
                </c:pt>
                <c:pt idx="261">
                  <c:v>0.71</c:v>
                </c:pt>
                <c:pt idx="262">
                  <c:v>0.71</c:v>
                </c:pt>
                <c:pt idx="263">
                  <c:v>1.32</c:v>
                </c:pt>
                <c:pt idx="264">
                  <c:v>1.54</c:v>
                </c:pt>
                <c:pt idx="265">
                  <c:v>1.52</c:v>
                </c:pt>
                <c:pt idx="266">
                  <c:v>1.49</c:v>
                </c:pt>
                <c:pt idx="267">
                  <c:v>1.67</c:v>
                </c:pt>
                <c:pt idx="268">
                  <c:v>1.81</c:v>
                </c:pt>
                <c:pt idx="269">
                  <c:v>2.09</c:v>
                </c:pt>
                <c:pt idx="270">
                  <c:v>2.17</c:v>
                </c:pt>
                <c:pt idx="271">
                  <c:v>2.58</c:v>
                </c:pt>
                <c:pt idx="272">
                  <c:v>2.25</c:v>
                </c:pt>
                <c:pt idx="273">
                  <c:v>2.18</c:v>
                </c:pt>
                <c:pt idx="274">
                  <c:v>2.23</c:v>
                </c:pt>
                <c:pt idx="275">
                  <c:v>2.51</c:v>
                </c:pt>
                <c:pt idx="276">
                  <c:v>2.53</c:v>
                </c:pt>
                <c:pt idx="277">
                  <c:v>2.4</c:v>
                </c:pt>
                <c:pt idx="278">
                  <c:v>2.24</c:v>
                </c:pt>
                <c:pt idx="279">
                  <c:v>2.07</c:v>
                </c:pt>
                <c:pt idx="280">
                  <c:v>2.02</c:v>
                </c:pt>
                <c:pt idx="281">
                  <c:v>2.17</c:v>
                </c:pt>
                <c:pt idx="282">
                  <c:v>2.16</c:v>
                </c:pt>
                <c:pt idx="283">
                  <c:v>2.22</c:v>
                </c:pt>
                <c:pt idx="284">
                  <c:v>2.28</c:v>
                </c:pt>
                <c:pt idx="285">
                  <c:v>2.34</c:v>
                </c:pt>
                <c:pt idx="286">
                  <c:v>2.17</c:v>
                </c:pt>
                <c:pt idx="287">
                  <c:v>2.16</c:v>
                </c:pt>
                <c:pt idx="288">
                  <c:v>2.57</c:v>
                </c:pt>
                <c:pt idx="289">
                  <c:v>2.54</c:v>
                </c:pt>
                <c:pt idx="290">
                  <c:v>2.37</c:v>
                </c:pt>
                <c:pt idx="291">
                  <c:v>2.32</c:v>
                </c:pt>
                <c:pt idx="292">
                  <c:v>2.08</c:v>
                </c:pt>
                <c:pt idx="293">
                  <c:v>2.11</c:v>
                </c:pt>
                <c:pt idx="294">
                  <c:v>2.1</c:v>
                </c:pt>
                <c:pt idx="295">
                  <c:v>2.02</c:v>
                </c:pt>
                <c:pt idx="296">
                  <c:v>2.06</c:v>
                </c:pt>
                <c:pt idx="297">
                  <c:v>2.92</c:v>
                </c:pt>
                <c:pt idx="298">
                  <c:v>3</c:v>
                </c:pt>
                <c:pt idx="299">
                  <c:v>2.94</c:v>
                </c:pt>
                <c:pt idx="300">
                  <c:v>3.12</c:v>
                </c:pt>
                <c:pt idx="301">
                  <c:v>3.57</c:v>
                </c:pt>
                <c:pt idx="302">
                  <c:v>2.7</c:v>
                </c:pt>
                <c:pt idx="303">
                  <c:v>3.31</c:v>
                </c:pt>
                <c:pt idx="304">
                  <c:v>3.43</c:v>
                </c:pt>
                <c:pt idx="305">
                  <c:v>3.57</c:v>
                </c:pt>
                <c:pt idx="306">
                  <c:v>3.31</c:v>
                </c:pt>
                <c:pt idx="307">
                  <c:v>3.03</c:v>
                </c:pt>
                <c:pt idx="308">
                  <c:v>2.62</c:v>
                </c:pt>
                <c:pt idx="309">
                  <c:v>2.65</c:v>
                </c:pt>
                <c:pt idx="310">
                  <c:v>2.23</c:v>
                </c:pt>
                <c:pt idx="311">
                  <c:v>2.16</c:v>
                </c:pt>
                <c:pt idx="312">
                  <c:v>2.15</c:v>
                </c:pt>
                <c:pt idx="313">
                  <c:v>2.37</c:v>
                </c:pt>
                <c:pt idx="314">
                  <c:v>2.18</c:v>
                </c:pt>
                <c:pt idx="315">
                  <c:v>2.45</c:v>
                </c:pt>
                <c:pt idx="316">
                  <c:v>2.56</c:v>
                </c:pt>
                <c:pt idx="317">
                  <c:v>2.63</c:v>
                </c:pt>
                <c:pt idx="318">
                  <c:v>2.58</c:v>
                </c:pt>
                <c:pt idx="319">
                  <c:v>2.45</c:v>
                </c:pt>
                <c:pt idx="320">
                  <c:v>2.62</c:v>
                </c:pt>
                <c:pt idx="321">
                  <c:v>2.66</c:v>
                </c:pt>
                <c:pt idx="322">
                  <c:v>2.7</c:v>
                </c:pt>
                <c:pt idx="323">
                  <c:v>2.53</c:v>
                </c:pt>
                <c:pt idx="324">
                  <c:v>2.56</c:v>
                </c:pt>
                <c:pt idx="325">
                  <c:v>2.55</c:v>
                </c:pt>
                <c:pt idx="326">
                  <c:v>2.74</c:v>
                </c:pt>
                <c:pt idx="327">
                  <c:v>2.72</c:v>
                </c:pt>
                <c:pt idx="328">
                  <c:v>2.83</c:v>
                </c:pt>
                <c:pt idx="329">
                  <c:v>2.97</c:v>
                </c:pt>
                <c:pt idx="330">
                  <c:v>3.04</c:v>
                </c:pt>
                <c:pt idx="331">
                  <c:v>2.96</c:v>
                </c:pt>
                <c:pt idx="332">
                  <c:v>3.11</c:v>
                </c:pt>
                <c:pt idx="333">
                  <c:v>3.43</c:v>
                </c:pt>
                <c:pt idx="334">
                  <c:v>3.55</c:v>
                </c:pt>
                <c:pt idx="335">
                  <c:v>3.7</c:v>
                </c:pt>
                <c:pt idx="336">
                  <c:v>3.58</c:v>
                </c:pt>
                <c:pt idx="337">
                  <c:v>3.44</c:v>
                </c:pt>
                <c:pt idx="338">
                  <c:v>3.35</c:v>
                </c:pt>
                <c:pt idx="339">
                  <c:v>3.23</c:v>
                </c:pt>
                <c:pt idx="340">
                  <c:v>3.37</c:v>
                </c:pt>
                <c:pt idx="341">
                  <c:v>3.43</c:v>
                </c:pt>
                <c:pt idx="342">
                  <c:v>3.48</c:v>
                </c:pt>
                <c:pt idx="343">
                  <c:v>3.59</c:v>
                </c:pt>
                <c:pt idx="344">
                  <c:v>3.49</c:v>
                </c:pt>
                <c:pt idx="345">
                  <c:v>3.31</c:v>
                </c:pt>
                <c:pt idx="346">
                  <c:v>3.3</c:v>
                </c:pt>
                <c:pt idx="347">
                  <c:v>3.23</c:v>
                </c:pt>
                <c:pt idx="348">
                  <c:v>3.27</c:v>
                </c:pt>
                <c:pt idx="349">
                  <c:v>3.35</c:v>
                </c:pt>
                <c:pt idx="350">
                  <c:v>3.32</c:v>
                </c:pt>
                <c:pt idx="351">
                  <c:v>3.16</c:v>
                </c:pt>
                <c:pt idx="352">
                  <c:v>3.2</c:v>
                </c:pt>
                <c:pt idx="353">
                  <c:v>3.36</c:v>
                </c:pt>
                <c:pt idx="354">
                  <c:v>3.36</c:v>
                </c:pt>
                <c:pt idx="355">
                  <c:v>3.42</c:v>
                </c:pt>
                <c:pt idx="356">
                  <c:v>3.48</c:v>
                </c:pt>
                <c:pt idx="357">
                  <c:v>3.41</c:v>
                </c:pt>
                <c:pt idx="358">
                  <c:v>3.31</c:v>
                </c:pt>
                <c:pt idx="359">
                  <c:v>3.25</c:v>
                </c:pt>
                <c:pt idx="360">
                  <c:v>3.28</c:v>
                </c:pt>
                <c:pt idx="361">
                  <c:v>3.44</c:v>
                </c:pt>
                <c:pt idx="362">
                  <c:v>3.52</c:v>
                </c:pt>
                <c:pt idx="363">
                  <c:v>3.69</c:v>
                </c:pt>
                <c:pt idx="364">
                  <c:v>3.75</c:v>
                </c:pt>
                <c:pt idx="365">
                  <c:v>3.77</c:v>
                </c:pt>
                <c:pt idx="366">
                  <c:v>3.72</c:v>
                </c:pt>
                <c:pt idx="367">
                  <c:v>3.6</c:v>
                </c:pt>
                <c:pt idx="368">
                  <c:v>3.59</c:v>
                </c:pt>
                <c:pt idx="369">
                  <c:v>3.56</c:v>
                </c:pt>
                <c:pt idx="370">
                  <c:v>3.58</c:v>
                </c:pt>
                <c:pt idx="371">
                  <c:v>3.64</c:v>
                </c:pt>
                <c:pt idx="372">
                  <c:v>3.57</c:v>
                </c:pt>
                <c:pt idx="373">
                  <c:v>3.49</c:v>
                </c:pt>
                <c:pt idx="374">
                  <c:v>3.56</c:v>
                </c:pt>
                <c:pt idx="375">
                  <c:v>3.52</c:v>
                </c:pt>
                <c:pt idx="376">
                  <c:v>3.65</c:v>
                </c:pt>
                <c:pt idx="377">
                  <c:v>3.73</c:v>
                </c:pt>
                <c:pt idx="378">
                  <c:v>3.77</c:v>
                </c:pt>
                <c:pt idx="379">
                  <c:v>3.69</c:v>
                </c:pt>
                <c:pt idx="380">
                  <c:v>3.65</c:v>
                </c:pt>
                <c:pt idx="381">
                  <c:v>3.6</c:v>
                </c:pt>
                <c:pt idx="382">
                  <c:v>3.42</c:v>
                </c:pt>
                <c:pt idx="383">
                  <c:v>3.38</c:v>
                </c:pt>
                <c:pt idx="384">
                  <c:v>3.16</c:v>
                </c:pt>
                <c:pt idx="385">
                  <c:v>3.08</c:v>
                </c:pt>
                <c:pt idx="386">
                  <c:v>3.16</c:v>
                </c:pt>
                <c:pt idx="387">
                  <c:v>3.12</c:v>
                </c:pt>
                <c:pt idx="388">
                  <c:v>3.17</c:v>
                </c:pt>
                <c:pt idx="389">
                  <c:v>3.04</c:v>
                </c:pt>
                <c:pt idx="390">
                  <c:v>2.82</c:v>
                </c:pt>
                <c:pt idx="391">
                  <c:v>2.86</c:v>
                </c:pt>
                <c:pt idx="392">
                  <c:v>2.9</c:v>
                </c:pt>
                <c:pt idx="393">
                  <c:v>2.81</c:v>
                </c:pt>
                <c:pt idx="394">
                  <c:v>2.87</c:v>
                </c:pt>
                <c:pt idx="395">
                  <c:v>2.78</c:v>
                </c:pt>
                <c:pt idx="396">
                  <c:v>2.61</c:v>
                </c:pt>
                <c:pt idx="397">
                  <c:v>2.45</c:v>
                </c:pt>
                <c:pt idx="398">
                  <c:v>2.4</c:v>
                </c:pt>
                <c:pt idx="399">
                  <c:v>2.45</c:v>
                </c:pt>
                <c:pt idx="400">
                  <c:v>2.57</c:v>
                </c:pt>
                <c:pt idx="401">
                  <c:v>2.59</c:v>
                </c:pt>
                <c:pt idx="402">
                  <c:v>2.45</c:v>
                </c:pt>
                <c:pt idx="403">
                  <c:v>2.36</c:v>
                </c:pt>
                <c:pt idx="404">
                  <c:v>2.32</c:v>
                </c:pt>
                <c:pt idx="405">
                  <c:v>2.36</c:v>
                </c:pt>
                <c:pt idx="406">
                  <c:v>2.4</c:v>
                </c:pt>
                <c:pt idx="407">
                  <c:v>2.54</c:v>
                </c:pt>
                <c:pt idx="408">
                  <c:v>2.48</c:v>
                </c:pt>
                <c:pt idx="409">
                  <c:v>2.55</c:v>
                </c:pt>
                <c:pt idx="410">
                  <c:v>2.75</c:v>
                </c:pt>
                <c:pt idx="411">
                  <c:v>2.68</c:v>
                </c:pt>
                <c:pt idx="412">
                  <c:v>2.77</c:v>
                </c:pt>
                <c:pt idx="413">
                  <c:v>3.04</c:v>
                </c:pt>
                <c:pt idx="414">
                  <c:v>3.28</c:v>
                </c:pt>
                <c:pt idx="415">
                  <c:v>3.23</c:v>
                </c:pt>
                <c:pt idx="416">
                  <c:v>3.24</c:v>
                </c:pt>
                <c:pt idx="417">
                  <c:v>3.26</c:v>
                </c:pt>
                <c:pt idx="418">
                  <c:v>3.21</c:v>
                </c:pt>
                <c:pt idx="419">
                  <c:v>3.26</c:v>
                </c:pt>
                <c:pt idx="420">
                  <c:v>3.24</c:v>
                </c:pt>
                <c:pt idx="421">
                  <c:v>3.39</c:v>
                </c:pt>
                <c:pt idx="422">
                  <c:v>3.54</c:v>
                </c:pt>
                <c:pt idx="423">
                  <c:v>3.49</c:v>
                </c:pt>
                <c:pt idx="424">
                  <c:v>3.33</c:v>
                </c:pt>
                <c:pt idx="425">
                  <c:v>3.34</c:v>
                </c:pt>
                <c:pt idx="426">
                  <c:v>3.36</c:v>
                </c:pt>
                <c:pt idx="427">
                  <c:v>3.2</c:v>
                </c:pt>
                <c:pt idx="428">
                  <c:v>3.29</c:v>
                </c:pt>
                <c:pt idx="429">
                  <c:v>3.38</c:v>
                </c:pt>
                <c:pt idx="430">
                  <c:v>3.49</c:v>
                </c:pt>
                <c:pt idx="431">
                  <c:v>3.45</c:v>
                </c:pt>
                <c:pt idx="432">
                  <c:v>3.35</c:v>
                </c:pt>
                <c:pt idx="433">
                  <c:v>3.3</c:v>
                </c:pt>
                <c:pt idx="434">
                  <c:v>3.21</c:v>
                </c:pt>
                <c:pt idx="435">
                  <c:v>3.17</c:v>
                </c:pt>
                <c:pt idx="436">
                  <c:v>3.1</c:v>
                </c:pt>
                <c:pt idx="437">
                  <c:v>3.04</c:v>
                </c:pt>
                <c:pt idx="438">
                  <c:v>2.96</c:v>
                </c:pt>
                <c:pt idx="439">
                  <c:v>2.95</c:v>
                </c:pt>
                <c:pt idx="440">
                  <c:v>2.94</c:v>
                </c:pt>
                <c:pt idx="441">
                  <c:v>2.94</c:v>
                </c:pt>
                <c:pt idx="442">
                  <c:v>3.09</c:v>
                </c:pt>
                <c:pt idx="443">
                  <c:v>3.1</c:v>
                </c:pt>
                <c:pt idx="444">
                  <c:v>2.92</c:v>
                </c:pt>
                <c:pt idx="445">
                  <c:v>2.94</c:v>
                </c:pt>
                <c:pt idx="446">
                  <c:v>2.9</c:v>
                </c:pt>
                <c:pt idx="447">
                  <c:v>2.58</c:v>
                </c:pt>
                <c:pt idx="448">
                  <c:v>2.24</c:v>
                </c:pt>
                <c:pt idx="449">
                  <c:v>2.15</c:v>
                </c:pt>
                <c:pt idx="450">
                  <c:v>2.18</c:v>
                </c:pt>
                <c:pt idx="451">
                  <c:v>2.15</c:v>
                </c:pt>
                <c:pt idx="452">
                  <c:v>1.97</c:v>
                </c:pt>
                <c:pt idx="453">
                  <c:v>2.02</c:v>
                </c:pt>
                <c:pt idx="454">
                  <c:v>1.86</c:v>
                </c:pt>
                <c:pt idx="455">
                  <c:v>1.95</c:v>
                </c:pt>
                <c:pt idx="456">
                  <c:v>1.92</c:v>
                </c:pt>
                <c:pt idx="457">
                  <c:v>2.2</c:v>
                </c:pt>
                <c:pt idx="458">
                  <c:v>2.17</c:v>
                </c:pt>
                <c:pt idx="459">
                  <c:v>2.26</c:v>
                </c:pt>
                <c:pt idx="460">
                  <c:v>2.06</c:v>
                </c:pt>
                <c:pt idx="461">
                  <c:v>2.04</c:v>
                </c:pt>
                <c:pt idx="462">
                  <c:v>2.01</c:v>
                </c:pt>
                <c:pt idx="463">
                  <c:v>1.92</c:v>
                </c:pt>
                <c:pt idx="464">
                  <c:v>2.02</c:v>
                </c:pt>
                <c:pt idx="465">
                  <c:v>2.03</c:v>
                </c:pt>
                <c:pt idx="466">
                  <c:v>1.93</c:v>
                </c:pt>
                <c:pt idx="467">
                  <c:v>1.94</c:v>
                </c:pt>
                <c:pt idx="468">
                  <c:v>1.92</c:v>
                </c:pt>
                <c:pt idx="469">
                  <c:v>1.97</c:v>
                </c:pt>
                <c:pt idx="470">
                  <c:v>1.93</c:v>
                </c:pt>
                <c:pt idx="471">
                  <c:v>1.92</c:v>
                </c:pt>
                <c:pt idx="472">
                  <c:v>1.96</c:v>
                </c:pt>
                <c:pt idx="473">
                  <c:v>1.81</c:v>
                </c:pt>
                <c:pt idx="474">
                  <c:v>1.9</c:v>
                </c:pt>
                <c:pt idx="475">
                  <c:v>1.86</c:v>
                </c:pt>
                <c:pt idx="476">
                  <c:v>1.92</c:v>
                </c:pt>
                <c:pt idx="477">
                  <c:v>1.88</c:v>
                </c:pt>
                <c:pt idx="478">
                  <c:v>1.92</c:v>
                </c:pt>
                <c:pt idx="479">
                  <c:v>2.12</c:v>
                </c:pt>
                <c:pt idx="480">
                  <c:v>2.23</c:v>
                </c:pt>
                <c:pt idx="481">
                  <c:v>2.14</c:v>
                </c:pt>
                <c:pt idx="482">
                  <c:v>2.13</c:v>
                </c:pt>
                <c:pt idx="483">
                  <c:v>1.95</c:v>
                </c:pt>
                <c:pt idx="484">
                  <c:v>1.92</c:v>
                </c:pt>
                <c:pt idx="485">
                  <c:v>1.89</c:v>
                </c:pt>
                <c:pt idx="486">
                  <c:v>1.86</c:v>
                </c:pt>
                <c:pt idx="487">
                  <c:v>1.78</c:v>
                </c:pt>
                <c:pt idx="488">
                  <c:v>1.65</c:v>
                </c:pt>
                <c:pt idx="489">
                  <c:v>1.67</c:v>
                </c:pt>
                <c:pt idx="490">
                  <c:v>1.53</c:v>
                </c:pt>
                <c:pt idx="491">
                  <c:v>1.52</c:v>
                </c:pt>
                <c:pt idx="492">
                  <c:v>1.52</c:v>
                </c:pt>
                <c:pt idx="493">
                  <c:v>1.55</c:v>
                </c:pt>
                <c:pt idx="494">
                  <c:v>1.55</c:v>
                </c:pt>
                <c:pt idx="495">
                  <c:v>1.52</c:v>
                </c:pt>
                <c:pt idx="496">
                  <c:v>1.42</c:v>
                </c:pt>
                <c:pt idx="497">
                  <c:v>1.43</c:v>
                </c:pt>
                <c:pt idx="498">
                  <c:v>1.37</c:v>
                </c:pt>
                <c:pt idx="499">
                  <c:v>1.44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14846309"/>
        <c:axId val="5422540"/>
      </c:lineChart>
      <c:catAx>
        <c:axId val="14846309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22540"/>
        <c:crosses val="autoZero"/>
        <c:auto val="1"/>
        <c:lblAlgn val="ctr"/>
        <c:lblOffset val="100"/>
      </c:catAx>
      <c:valAx>
        <c:axId val="542254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%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484630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>
      <a:noFill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9360</xdr:colOff>
      <xdr:row>2</xdr:row>
      <xdr:rowOff>9360</xdr:rowOff>
    </xdr:from>
    <xdr:to>
      <xdr:col>8</xdr:col>
      <xdr:colOff>313920</xdr:colOff>
      <xdr:row>16</xdr:row>
      <xdr:rowOff>85320</xdr:rowOff>
    </xdr:to>
    <xdr:graphicFrame>
      <xdr:nvGraphicFramePr>
        <xdr:cNvPr id="0" name="Chart 1"/>
        <xdr:cNvGraphicFramePr/>
      </xdr:nvGraphicFramePr>
      <xdr:xfrm>
        <a:off x="621360" y="390240"/>
        <a:ext cx="458964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A509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0.85"/>
    <col collapsed="false" customWidth="true" hidden="false" outlineLevel="0" max="2" min="2" style="0" width="7.15"/>
    <col collapsed="false" customWidth="true" hidden="false" outlineLevel="0" max="3" min="3" style="0" width="19.57"/>
    <col collapsed="false" customWidth="true" hidden="false" outlineLevel="0" max="4" min="4" style="0" width="10.58"/>
    <col collapsed="false" customWidth="true" hidden="false" outlineLevel="0" max="5" min="5" style="0" width="19.57"/>
    <col collapsed="false" customWidth="true" hidden="false" outlineLevel="0" max="6" min="6" style="0" width="6.15"/>
    <col collapsed="false" customWidth="true" hidden="false" outlineLevel="0" max="7" min="7" style="0" width="19.57"/>
    <col collapsed="false" customWidth="true" hidden="false" outlineLevel="0" max="10" min="8" style="0" width="19.99"/>
    <col collapsed="false" customWidth="true" hidden="false" outlineLevel="0" max="11" min="11" style="0" width="7.86"/>
    <col collapsed="false" customWidth="true" hidden="false" outlineLevel="0" max="12" min="12" style="0" width="20.99"/>
    <col collapsed="false" customWidth="true" hidden="false" outlineLevel="0" max="13" min="13" style="0" width="10.71"/>
    <col collapsed="false" customWidth="true" hidden="false" outlineLevel="0" max="14" min="14" style="0" width="20.99"/>
    <col collapsed="false" customWidth="true" hidden="false" outlineLevel="0" max="15" min="15" style="0" width="9"/>
    <col collapsed="false" customWidth="true" hidden="false" outlineLevel="0" max="16" min="16" style="0" width="19.85"/>
    <col collapsed="false" customWidth="true" hidden="false" outlineLevel="0" max="17" min="17" style="0" width="8.71"/>
    <col collapsed="false" customWidth="true" hidden="false" outlineLevel="0" max="18" min="18" style="0" width="19.85"/>
    <col collapsed="false" customWidth="true" hidden="false" outlineLevel="0" max="19" min="19" style="0" width="8.42"/>
    <col collapsed="false" customWidth="true" hidden="false" outlineLevel="0" max="20" min="20" style="0" width="20.99"/>
    <col collapsed="false" customWidth="true" hidden="false" outlineLevel="0" max="21" min="21" style="0" width="10.85"/>
    <col collapsed="false" customWidth="true" hidden="false" outlineLevel="0" max="22" min="22" style="0" width="19.99"/>
    <col collapsed="false" customWidth="true" hidden="false" outlineLevel="0" max="23" min="23" style="0" width="11.29"/>
    <col collapsed="false" customWidth="true" hidden="false" outlineLevel="0" max="24" min="24" style="0" width="19.14"/>
    <col collapsed="false" customWidth="true" hidden="false" outlineLevel="0" max="25" min="25" style="0" width="8.67"/>
    <col collapsed="false" customWidth="true" hidden="false" outlineLevel="0" max="26" min="26" style="0" width="19.71"/>
    <col collapsed="false" customWidth="true" hidden="false" outlineLevel="0" max="1011" min="27" style="0" width="8.67"/>
    <col collapsed="false" customWidth="false" hidden="false" outlineLevel="0" max="1025" min="1012" style="0" width="11.52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3" t="s">
        <v>15</v>
      </c>
      <c r="Q1" s="4" t="s">
        <v>16</v>
      </c>
      <c r="R1" s="4" t="s">
        <v>17</v>
      </c>
      <c r="S1" s="5" t="s">
        <v>18</v>
      </c>
      <c r="T1" s="6" t="s">
        <v>19</v>
      </c>
      <c r="U1" s="2" t="s">
        <v>20</v>
      </c>
      <c r="V1" s="7" t="s">
        <v>21</v>
      </c>
      <c r="W1" s="2" t="s">
        <v>22</v>
      </c>
      <c r="X1" s="7" t="s">
        <v>23</v>
      </c>
      <c r="Y1" s="5" t="s">
        <v>24</v>
      </c>
      <c r="Z1" s="6" t="s">
        <v>25</v>
      </c>
    </row>
    <row r="2" customFormat="false" ht="13.8" hidden="true" customHeight="false" outlineLevel="0" collapsed="false">
      <c r="A2" s="8" t="n">
        <v>37624</v>
      </c>
      <c r="B2" s="0" t="n">
        <v>77.07</v>
      </c>
      <c r="C2" s="9"/>
      <c r="D2" s="0" t="n">
        <v>24.68</v>
      </c>
      <c r="E2" s="9"/>
      <c r="F2" s="0" t="n">
        <v>91.35</v>
      </c>
      <c r="G2" s="9"/>
      <c r="H2" s="9"/>
      <c r="I2" s="9"/>
      <c r="J2" s="9"/>
      <c r="K2" s="10" t="n">
        <v>32.38</v>
      </c>
      <c r="L2" s="9"/>
      <c r="M2" s="10" t="n">
        <v>31.01</v>
      </c>
      <c r="N2" s="9"/>
      <c r="O2" s="11" t="n">
        <v>1.16</v>
      </c>
      <c r="P2" s="9"/>
      <c r="Q2" s="10" t="n">
        <v>1.75</v>
      </c>
      <c r="R2" s="9"/>
      <c r="S2" s="10" t="n">
        <v>3.94</v>
      </c>
      <c r="T2" s="12"/>
      <c r="U2" s="13" t="n">
        <v>2.74</v>
      </c>
      <c r="V2" s="9"/>
      <c r="W2" s="0" t="n">
        <v>1.258</v>
      </c>
      <c r="X2" s="14"/>
      <c r="Y2" s="0" t="n">
        <v>1.5605</v>
      </c>
      <c r="Z2" s="14"/>
    </row>
    <row r="3" customFormat="false" ht="13.8" hidden="false" customHeight="false" outlineLevel="0" collapsed="false">
      <c r="A3" s="15" t="n">
        <v>37627</v>
      </c>
      <c r="B3" s="16" t="n">
        <v>79.05</v>
      </c>
      <c r="C3" s="17" t="n">
        <f aca="false">(B3-B2)/B2</f>
        <v>0.025690930323083</v>
      </c>
      <c r="D3" s="16" t="n">
        <v>24.32</v>
      </c>
      <c r="E3" s="17" t="n">
        <f aca="false">(D3-D2)/D2</f>
        <v>-0.0145867098865478</v>
      </c>
      <c r="F3" s="16" t="n">
        <v>93.06</v>
      </c>
      <c r="G3" s="17" t="n">
        <f aca="false">(F3-F2)/F2</f>
        <v>0.0187192118226602</v>
      </c>
      <c r="H3" s="16" t="n">
        <f aca="false">AVERAGE('SPY 2002-01-02 to 2003-01-03'!B41:B54)</f>
        <v>89.4721428571428</v>
      </c>
      <c r="I3" s="16" t="n">
        <f aca="false">AVERAGE('SPY 2002-01-02 to 2003-01-03'!B48:B54)</f>
        <v>91.07</v>
      </c>
      <c r="J3" s="16" t="n">
        <f aca="false">AVERAGE('SPY 2002-01-02 to 2003-01-03'!B52:B54)</f>
        <v>89.5733333333333</v>
      </c>
      <c r="K3" s="18" t="n">
        <v>31.96</v>
      </c>
      <c r="L3" s="17" t="n">
        <f aca="false">(K3-K2)/K2</f>
        <v>-0.012970969734404</v>
      </c>
      <c r="M3" s="18" t="n">
        <v>30.97</v>
      </c>
      <c r="N3" s="17" t="n">
        <f aca="false">(M3-M2)/M2</f>
        <v>-0.00128990648178016</v>
      </c>
      <c r="O3" s="16" t="n">
        <v>1.35</v>
      </c>
      <c r="P3" s="19" t="n">
        <f aca="false">(O3-O2)/O2</f>
        <v>0.163793103448276</v>
      </c>
      <c r="Q3" s="18" t="n">
        <v>1.77</v>
      </c>
      <c r="R3" s="19" t="n">
        <f aca="false">(Q3-Q2)/Q2</f>
        <v>0.0114285714285714</v>
      </c>
      <c r="S3" s="18" t="n">
        <v>4.1</v>
      </c>
      <c r="T3" s="17" t="n">
        <f aca="false">(S3-S2)/S2</f>
        <v>0.0406091370558375</v>
      </c>
      <c r="U3" s="20" t="n">
        <v>2.92</v>
      </c>
      <c r="V3" s="17" t="n">
        <f aca="false">(U3-U2)/U2</f>
        <v>0.0656934306569342</v>
      </c>
      <c r="W3" s="16" t="n">
        <v>1.0583</v>
      </c>
      <c r="X3" s="21" t="n">
        <f aca="false">(W3-W2)/W2</f>
        <v>-0.158744038155803</v>
      </c>
      <c r="Y3" s="16" t="n">
        <v>1.4594</v>
      </c>
      <c r="Z3" s="22" t="n">
        <f aca="false">(Y3-Y2)/Y2</f>
        <v>-0.0647869272669016</v>
      </c>
    </row>
    <row r="4" customFormat="false" ht="13.8" hidden="false" customHeight="false" outlineLevel="0" collapsed="false">
      <c r="A4" s="8" t="n">
        <v>37634</v>
      </c>
      <c r="B4" s="0" t="n">
        <v>77.95</v>
      </c>
      <c r="C4" s="9" t="n">
        <f aca="false">(B4-B3)/B3</f>
        <v>-0.0139152435167615</v>
      </c>
      <c r="D4" s="0" t="n">
        <v>25.7</v>
      </c>
      <c r="E4" s="9" t="n">
        <f aca="false">(D4-D3)/D3</f>
        <v>0.0567434210526315</v>
      </c>
      <c r="F4" s="0" t="n">
        <v>90.66</v>
      </c>
      <c r="G4" s="9" t="n">
        <f aca="false">(F4-F3)/F3</f>
        <v>-0.0257898130238556</v>
      </c>
      <c r="H4" s="0" t="n">
        <f aca="false">AVERAGE(F3,'SPY 2002-01-02 to 2003-01-03'!B42:B54)</f>
        <v>90.3478571428571</v>
      </c>
      <c r="I4" s="0" t="n">
        <f aca="false">AVERAGE(F3,'SPY 2002-01-02 to 2003-01-03'!B49:B54)</f>
        <v>91.0185714285715</v>
      </c>
      <c r="J4" s="0" t="n">
        <f aca="false">AVERAGE(F3,'SPY 2002-01-02 to 2003-01-03'!B53:B54)</f>
        <v>90.5966666666667</v>
      </c>
      <c r="K4" s="10" t="n">
        <v>31.54</v>
      </c>
      <c r="L4" s="9" t="n">
        <f aca="false">(K4-K3)/K3</f>
        <v>-0.0131414267834794</v>
      </c>
      <c r="M4" s="10" t="n">
        <v>30.37</v>
      </c>
      <c r="N4" s="9" t="n">
        <f aca="false">(M4-M3)/M3</f>
        <v>-0.0193735873425895</v>
      </c>
      <c r="O4" s="0" t="n">
        <v>1.41</v>
      </c>
      <c r="P4" s="9" t="n">
        <f aca="false">(O4-O3)/O3</f>
        <v>0.0444444444444445</v>
      </c>
      <c r="Q4" s="10" t="n">
        <v>1.7</v>
      </c>
      <c r="R4" s="9" t="n">
        <f aca="false">(Q4-Q3)/Q3</f>
        <v>-0.03954802259887</v>
      </c>
      <c r="S4" s="10" t="n">
        <v>4.1</v>
      </c>
      <c r="T4" s="9" t="n">
        <f aca="false">(S4-S3)/S3</f>
        <v>0</v>
      </c>
      <c r="U4" s="13" t="n">
        <v>2.93</v>
      </c>
      <c r="V4" s="9" t="n">
        <f aca="false">(U4-U3)/U3</f>
        <v>0.0034246575342465</v>
      </c>
      <c r="W4" s="0" t="n">
        <v>1.0654</v>
      </c>
      <c r="X4" s="23" t="n">
        <f aca="false">(W4-W3)/W3</f>
        <v>0.00670887272040053</v>
      </c>
      <c r="Y4" s="0" t="n">
        <v>1.4586</v>
      </c>
      <c r="Z4" s="24" t="n">
        <f aca="false">(Y4-Y3)/Y3</f>
        <v>-0.000548170481019689</v>
      </c>
    </row>
    <row r="5" customFormat="false" ht="13.8" hidden="false" customHeight="false" outlineLevel="0" collapsed="false">
      <c r="A5" s="8" t="n">
        <v>37642</v>
      </c>
      <c r="B5" s="0" t="n">
        <v>74.57</v>
      </c>
      <c r="C5" s="9" t="n">
        <f aca="false">(B5-B4)/B4</f>
        <v>-0.0433611289288006</v>
      </c>
      <c r="D5" s="0" t="n">
        <v>31.51</v>
      </c>
      <c r="E5" s="9" t="n">
        <f aca="false">(D5-D4)/D4</f>
        <v>0.226070038910506</v>
      </c>
      <c r="F5" s="0" t="n">
        <v>86.38</v>
      </c>
      <c r="G5" s="9" t="n">
        <f aca="false">(F5-F4)/F4</f>
        <v>-0.0472093536289433</v>
      </c>
      <c r="H5" s="23" t="n">
        <f aca="false">AVERAGE(F3:F4,'SPY 2002-01-02 to 2003-01-03'!B43:B54)</f>
        <v>90.8121428571429</v>
      </c>
      <c r="I5" s="23" t="n">
        <f aca="false">AVERAGE(F3:F4,'SPY 2002-01-02 to 2003-01-03'!B50:B54)</f>
        <v>90.5442857142857</v>
      </c>
      <c r="J5" s="23" t="n">
        <f aca="false">AVERAGE(F3:F4,'SPY 2002-01-02 to 2003-01-03'!B54)</f>
        <v>91.69</v>
      </c>
      <c r="K5" s="10" t="n">
        <v>33.04</v>
      </c>
      <c r="L5" s="9" t="n">
        <f aca="false">(K5-K4)/K4</f>
        <v>0.0475586556753329</v>
      </c>
      <c r="M5" s="10" t="n">
        <v>31.48</v>
      </c>
      <c r="N5" s="9" t="n">
        <f aca="false">(M5-M4)/M4</f>
        <v>0.0365492262100757</v>
      </c>
      <c r="O5" s="0" t="n">
        <v>1.4</v>
      </c>
      <c r="P5" s="9" t="n">
        <f aca="false">(O5-O4)/O4</f>
        <v>-0.00709219858156045</v>
      </c>
      <c r="Q5" s="10" t="n">
        <v>1.56</v>
      </c>
      <c r="R5" s="9" t="n">
        <f aca="false">(Q5-Q4)/Q4</f>
        <v>-0.0823529411764707</v>
      </c>
      <c r="S5" s="10" t="n">
        <v>3.97</v>
      </c>
      <c r="T5" s="9" t="n">
        <f aca="false">(S5-S4)/S4</f>
        <v>-0.0317073170731707</v>
      </c>
      <c r="U5" s="13" t="n">
        <v>2.82</v>
      </c>
      <c r="V5" s="9" t="n">
        <f aca="false">(U5-U4)/U4</f>
        <v>-0.0375426621160408</v>
      </c>
      <c r="W5" s="0" t="n">
        <v>1.0838</v>
      </c>
      <c r="X5" s="23" t="n">
        <f aca="false">(W5-W4)/W4</f>
        <v>0.017270508729116</v>
      </c>
      <c r="Y5" s="0" t="n">
        <v>1.465</v>
      </c>
      <c r="Z5" s="24" t="n">
        <f aca="false">(Y5-Y4)/Y4</f>
        <v>0.00438776909365157</v>
      </c>
    </row>
    <row r="6" customFormat="false" ht="13.8" hidden="false" customHeight="false" outlineLevel="0" collapsed="false">
      <c r="A6" s="8" t="n">
        <v>37648</v>
      </c>
      <c r="B6" s="0" t="n">
        <v>73.87</v>
      </c>
      <c r="C6" s="9" t="n">
        <f aca="false">(B6-B5)/B5</f>
        <v>-0.00938715301059392</v>
      </c>
      <c r="D6" s="0" t="n">
        <v>31.17</v>
      </c>
      <c r="E6" s="9" t="n">
        <f aca="false">(D6-D5)/D5</f>
        <v>-0.0107902253252936</v>
      </c>
      <c r="F6" s="0" t="n">
        <v>86.06</v>
      </c>
      <c r="G6" s="9" t="n">
        <f aca="false">(F6-F5)/F5</f>
        <v>-0.00370456124102794</v>
      </c>
      <c r="H6" s="0" t="n">
        <f aca="false">AVERAGE(F3:F5,'SPY 2002-01-02 to 2003-01-03'!B44:B54)</f>
        <v>90.6507142857143</v>
      </c>
      <c r="I6" s="0" t="n">
        <f aca="false">AVERAGE(F3:F5,'SPY 2002-01-02 to 2003-01-03'!B51:B54)</f>
        <v>89.7371428571429</v>
      </c>
      <c r="J6" s="0" t="n">
        <f aca="false">AVERAGE(F3:F5)</f>
        <v>90.0333333333333</v>
      </c>
      <c r="K6" s="10" t="n">
        <v>34.46</v>
      </c>
      <c r="L6" s="9" t="n">
        <f aca="false">(K6-K5)/K5</f>
        <v>0.0429782082324456</v>
      </c>
      <c r="M6" s="10" t="n">
        <v>31.81</v>
      </c>
      <c r="N6" s="9" t="n">
        <f aca="false">(M6-M5)/M5</f>
        <v>0.0104828462515883</v>
      </c>
      <c r="O6" s="0" t="n">
        <v>1.48</v>
      </c>
      <c r="P6" s="9" t="n">
        <f aca="false">(O6-O5)/O5</f>
        <v>0.057142857142857</v>
      </c>
      <c r="Q6" s="10" t="n">
        <v>1.53</v>
      </c>
      <c r="R6" s="9" t="n">
        <f aca="false">(Q6-Q5)/Q5</f>
        <v>-0.0192307692307692</v>
      </c>
      <c r="S6" s="10" t="n">
        <v>4.01</v>
      </c>
      <c r="T6" s="9" t="n">
        <f aca="false">(S6-S5)/S5</f>
        <v>0.0100755667506297</v>
      </c>
      <c r="U6" s="13" t="n">
        <v>2.85</v>
      </c>
      <c r="V6" s="9" t="n">
        <f aca="false">(U6-U5)/U5</f>
        <v>0.0106382978723402</v>
      </c>
      <c r="W6" s="0" t="n">
        <v>1.0755</v>
      </c>
      <c r="X6" s="23" t="n">
        <f aca="false">(W6-W5)/W5</f>
        <v>-0.0076582395275883</v>
      </c>
      <c r="Y6" s="0" t="n">
        <v>1.4677</v>
      </c>
      <c r="Z6" s="24" t="n">
        <f aca="false">(Y6-Y5)/Y5</f>
        <v>0.00184300341296923</v>
      </c>
    </row>
    <row r="7" customFormat="false" ht="13.8" hidden="false" customHeight="false" outlineLevel="0" collapsed="false">
      <c r="A7" s="8" t="n">
        <v>37655</v>
      </c>
      <c r="B7" s="0" t="n">
        <v>71.16</v>
      </c>
      <c r="C7" s="9" t="n">
        <f aca="false">(B7-B6)/B6</f>
        <v>-0.0366860701231895</v>
      </c>
      <c r="D7" s="0" t="n">
        <v>34.01</v>
      </c>
      <c r="E7" s="9" t="n">
        <f aca="false">(D7-D6)/D6</f>
        <v>0.0911132499197946</v>
      </c>
      <c r="F7" s="0" t="n">
        <v>83.42</v>
      </c>
      <c r="G7" s="9" t="n">
        <f aca="false">(F7-F6)/F6</f>
        <v>-0.0306762723681153</v>
      </c>
      <c r="H7" s="0" t="n">
        <f aca="false">AVERAGE(F3:F6,'SPY 2002-01-02 to 2003-01-03'!B45:B54)</f>
        <v>90.355</v>
      </c>
      <c r="I7" s="0" t="n">
        <f aca="false">AVERAGE(F3:F6,'SPY 2002-01-02 to 2003-01-03'!B52:B54)</f>
        <v>89.2685714285714</v>
      </c>
      <c r="J7" s="0" t="n">
        <f aca="false">AVERAGE(F4:F6)</f>
        <v>87.7</v>
      </c>
      <c r="K7" s="10" t="n">
        <v>33.19</v>
      </c>
      <c r="L7" s="9" t="n">
        <f aca="false">(K7-K6)/K6</f>
        <v>-0.0368543238537436</v>
      </c>
      <c r="M7" s="10" t="n">
        <v>31.2</v>
      </c>
      <c r="N7" s="9" t="n">
        <f aca="false">(M7-M6)/M6</f>
        <v>-0.0191763596353348</v>
      </c>
      <c r="O7" s="0" t="n">
        <v>1.58</v>
      </c>
      <c r="P7" s="9" t="n">
        <f aca="false">(O7-O6)/O6</f>
        <v>0.0675675675675678</v>
      </c>
      <c r="Q7" s="10" t="n">
        <v>1.44</v>
      </c>
      <c r="R7" s="9" t="n">
        <f aca="false">(Q7-Q6)/Q6</f>
        <v>-0.0588235294117648</v>
      </c>
      <c r="S7" s="10" t="n">
        <v>3.98</v>
      </c>
      <c r="T7" s="9" t="n">
        <f aca="false">(S7-S6)/S6</f>
        <v>-0.00748129675810469</v>
      </c>
      <c r="U7" s="13" t="n">
        <v>2.83</v>
      </c>
      <c r="V7" s="9" t="n">
        <f aca="false">(U7-U6)/U6</f>
        <v>-0.00701754385964897</v>
      </c>
      <c r="W7" s="0" t="n">
        <v>1.083</v>
      </c>
      <c r="X7" s="23" t="n">
        <f aca="false">(W7-W6)/W6</f>
        <v>0.00697350069735013</v>
      </c>
      <c r="Y7" s="0" t="n">
        <v>1.4666</v>
      </c>
      <c r="Z7" s="24" t="n">
        <f aca="false">(Y7-Y6)/Y6</f>
        <v>-0.000749471962935273</v>
      </c>
    </row>
    <row r="8" customFormat="false" ht="13.8" hidden="false" customHeight="false" outlineLevel="0" collapsed="false">
      <c r="A8" s="8" t="n">
        <v>37662</v>
      </c>
      <c r="B8" s="0" t="n">
        <v>71.57</v>
      </c>
      <c r="C8" s="9" t="n">
        <f aca="false">(B8-B7)/B7</f>
        <v>0.00576166385609888</v>
      </c>
      <c r="D8" s="0" t="n">
        <v>32.62</v>
      </c>
      <c r="E8" s="9" t="n">
        <f aca="false">(D8-D7)/D7</f>
        <v>-0.0408703322552191</v>
      </c>
      <c r="F8" s="0" t="n">
        <v>84.15</v>
      </c>
      <c r="G8" s="9" t="n">
        <f aca="false">(F8-F7)/F7</f>
        <v>0.00875089906497248</v>
      </c>
      <c r="H8" s="0" t="n">
        <f aca="false">AVERAGE(F3:F7,'SPY 2002-01-02 to 2003-01-03'!B46:B54)</f>
        <v>89.8657142857143</v>
      </c>
      <c r="I8" s="0" t="n">
        <f aca="false">AVERAGE(F3:F7,'SPY 2002-01-02 to 2003-01-03'!B53:B54)</f>
        <v>88.33</v>
      </c>
      <c r="J8" s="0" t="n">
        <f aca="false">AVERAGE(F5:F7)</f>
        <v>85.2866666666667</v>
      </c>
      <c r="K8" s="10" t="n">
        <v>33.95</v>
      </c>
      <c r="L8" s="9" t="n">
        <f aca="false">(K8-K7)/K7</f>
        <v>0.0228984633925883</v>
      </c>
      <c r="M8" s="10" t="n">
        <v>31.58</v>
      </c>
      <c r="N8" s="9" t="n">
        <f aca="false">(M8-M7)/M7</f>
        <v>0.0121794871794871</v>
      </c>
      <c r="O8" s="0" t="n">
        <v>1.61</v>
      </c>
      <c r="P8" s="9" t="n">
        <f aca="false">(O8-O7)/O7</f>
        <v>0.0189873417721518</v>
      </c>
      <c r="Q8" s="10" t="n">
        <v>1.33</v>
      </c>
      <c r="R8" s="9" t="n">
        <f aca="false">(Q8-Q7)/Q7</f>
        <v>-0.0763888888888888</v>
      </c>
      <c r="S8" s="10" t="n">
        <v>3.95</v>
      </c>
      <c r="T8" s="9" t="n">
        <f aca="false">(S8-S7)/S7</f>
        <v>-0.00753768844221101</v>
      </c>
      <c r="U8" s="13" t="n">
        <v>2.79</v>
      </c>
      <c r="V8" s="9" t="n">
        <f aca="false">(U8-U7)/U7</f>
        <v>-0.0141342756183746</v>
      </c>
      <c r="W8" s="0" t="n">
        <v>1.0774</v>
      </c>
      <c r="X8" s="23" t="n">
        <f aca="false">(W8-W7)/W7</f>
        <v>-0.00517082179132045</v>
      </c>
      <c r="Y8" s="0" t="n">
        <v>1.4703</v>
      </c>
      <c r="Z8" s="24" t="n">
        <f aca="false">(Y8-Y7)/Y7</f>
        <v>0.00252284194736127</v>
      </c>
    </row>
    <row r="9" customFormat="false" ht="13.8" hidden="false" customHeight="false" outlineLevel="0" collapsed="false">
      <c r="A9" s="8" t="n">
        <v>37670</v>
      </c>
      <c r="B9" s="0" t="n">
        <v>72.65</v>
      </c>
      <c r="C9" s="9" t="n">
        <f aca="false">(B9-B8)/B8</f>
        <v>0.0150901215593127</v>
      </c>
      <c r="D9" s="0" t="n">
        <v>30.25</v>
      </c>
      <c r="E9" s="9" t="n">
        <f aca="false">(D9-D8)/D8</f>
        <v>-0.0726548129981606</v>
      </c>
      <c r="F9" s="0" t="n">
        <v>85.18</v>
      </c>
      <c r="G9" s="9" t="n">
        <f aca="false">(F9-F8)/F8</f>
        <v>0.0122400475341652</v>
      </c>
      <c r="H9" s="0" t="n">
        <f aca="false">AVERAGE(F3:F8,'SPY 2002-01-02 to 2003-01-03'!B47:B54)</f>
        <v>89.4728571428571</v>
      </c>
      <c r="I9" s="0" t="n">
        <f aca="false">AVERAGE(F3:F8,'SPY 2002-01-02 to 2003-01-03'!B54)</f>
        <v>87.8685714285714</v>
      </c>
      <c r="J9" s="0" t="n">
        <f aca="false">AVERAGE(F6:F8)</f>
        <v>84.5433333333333</v>
      </c>
      <c r="K9" s="10" t="n">
        <v>35.79</v>
      </c>
      <c r="L9" s="9" t="n">
        <f aca="false">(K9-K8)/K8</f>
        <v>0.0541973490427097</v>
      </c>
      <c r="M9" s="10" t="n">
        <v>32.79</v>
      </c>
      <c r="N9" s="9" t="n">
        <f aca="false">(M9-M8)/M8</f>
        <v>0.0383153894870171</v>
      </c>
      <c r="O9" s="0" t="n">
        <v>1.67</v>
      </c>
      <c r="P9" s="9" t="n">
        <f aca="false">(O9-O8)/O8</f>
        <v>0.0372670807453418</v>
      </c>
      <c r="Q9" s="10" t="n">
        <v>1.2</v>
      </c>
      <c r="R9" s="9" t="n">
        <f aca="false">(Q9-Q8)/Q8</f>
        <v>-0.0977443609022557</v>
      </c>
      <c r="S9" s="10" t="n">
        <v>3.89</v>
      </c>
      <c r="T9" s="9" t="n">
        <f aca="false">(S9-S8)/S8</f>
        <v>-0.0151898734177215</v>
      </c>
      <c r="U9" s="13" t="n">
        <v>2.72</v>
      </c>
      <c r="V9" s="9" t="n">
        <f aca="false">(U9-U8)/U8</f>
        <v>-0.0250896057347671</v>
      </c>
      <c r="W9" s="0" t="n">
        <v>1.0764</v>
      </c>
      <c r="X9" s="23" t="n">
        <f aca="false">(W9-W8)/W8</f>
        <v>-0.000928160386114618</v>
      </c>
      <c r="Y9" s="0" t="n">
        <v>1.4697</v>
      </c>
      <c r="Z9" s="24" t="n">
        <f aca="false">(Y9-Y8)/Y8</f>
        <v>-0.000408079983676756</v>
      </c>
    </row>
    <row r="10" customFormat="false" ht="13.8" hidden="false" customHeight="false" outlineLevel="0" collapsed="false">
      <c r="A10" s="8" t="n">
        <v>37676</v>
      </c>
      <c r="B10" s="0" t="n">
        <v>71.86</v>
      </c>
      <c r="C10" s="9" t="n">
        <f aca="false">(B10-B9)/B9</f>
        <v>-0.0108740536820373</v>
      </c>
      <c r="D10" s="0" t="n">
        <v>29.63</v>
      </c>
      <c r="E10" s="9" t="n">
        <f aca="false">(D10-D9)/D9</f>
        <v>-0.0204958677685951</v>
      </c>
      <c r="F10" s="0" t="n">
        <v>84.9</v>
      </c>
      <c r="G10" s="9" t="n">
        <f aca="false">(F10-F9)/F9</f>
        <v>-0.00328715660953277</v>
      </c>
      <c r="H10" s="0" t="n">
        <f aca="false">AVERAGE(F3:F9,'SPY 2002-01-02 to 2003-01-03'!B48:B54)</f>
        <v>89.0285714285714</v>
      </c>
      <c r="I10" s="0" t="n">
        <f aca="false">AVERAGE(F3:F9)</f>
        <v>86.9871428571429</v>
      </c>
      <c r="J10" s="0" t="n">
        <f aca="false">AVERAGE(F7:F9)</f>
        <v>84.25</v>
      </c>
      <c r="K10" s="10" t="n">
        <v>36.78</v>
      </c>
      <c r="L10" s="9" t="n">
        <f aca="false">(K10-K9)/K9</f>
        <v>0.0276613579212071</v>
      </c>
      <c r="M10" s="10" t="n">
        <v>33</v>
      </c>
      <c r="N10" s="9" t="n">
        <f aca="false">(M10-M9)/M9</f>
        <v>0.00640439158279966</v>
      </c>
      <c r="O10" s="0" t="n">
        <v>1.77</v>
      </c>
      <c r="P10" s="9" t="n">
        <f aca="false">(O10-O9)/O9</f>
        <v>0.0598802395209579</v>
      </c>
      <c r="Q10" s="10" t="n">
        <v>0.99</v>
      </c>
      <c r="R10" s="9" t="n">
        <f aca="false">(Q10-Q9)/Q9</f>
        <v>-0.175</v>
      </c>
      <c r="S10" s="10" t="n">
        <v>3.78</v>
      </c>
      <c r="T10" s="9" t="n">
        <f aca="false">(S10-S9)/S9</f>
        <v>-0.0282776349614396</v>
      </c>
      <c r="U10" s="13" t="n">
        <v>2.59</v>
      </c>
      <c r="V10" s="9" t="n">
        <f aca="false">(U10-U9)/U9</f>
        <v>-0.0477941176470588</v>
      </c>
      <c r="W10" s="0" t="n">
        <v>1.08</v>
      </c>
      <c r="X10" s="23" t="n">
        <f aca="false">(W10-W9)/W9</f>
        <v>0.00334448160535121</v>
      </c>
      <c r="Y10" s="0" t="n">
        <v>1.4603</v>
      </c>
      <c r="Z10" s="24" t="n">
        <f aca="false">(Y10-Y9)/Y9</f>
        <v>-0.00639586310131324</v>
      </c>
    </row>
    <row r="11" customFormat="false" ht="13.8" hidden="false" customHeight="false" outlineLevel="0" collapsed="false">
      <c r="A11" s="8" t="n">
        <v>37683</v>
      </c>
      <c r="B11" s="0" t="n">
        <v>70.99</v>
      </c>
      <c r="C11" s="9" t="n">
        <f aca="false">(B11-B10)/B10</f>
        <v>-0.012106874478152</v>
      </c>
      <c r="D11" s="0" t="n">
        <v>31.08</v>
      </c>
      <c r="E11" s="9" t="n">
        <f aca="false">(D11-D10)/D10</f>
        <v>0.0489368882888964</v>
      </c>
      <c r="F11" s="0" t="n">
        <v>83.32</v>
      </c>
      <c r="G11" s="9" t="n">
        <f aca="false">(F11-F10)/F10</f>
        <v>-0.0186101295641933</v>
      </c>
      <c r="H11" s="0" t="n">
        <f aca="false">AVERAGE(F3:F10,'SPY 2002-01-02 to 2003-01-03'!B49:B54)</f>
        <v>88.42</v>
      </c>
      <c r="I11" s="0" t="n">
        <f aca="false">AVERAGE(F4:F10)</f>
        <v>85.8214285714286</v>
      </c>
      <c r="J11" s="0" t="n">
        <f aca="false">AVERAGE(F8:F10)</f>
        <v>84.7433333333333</v>
      </c>
      <c r="K11" s="10" t="n">
        <v>36.98</v>
      </c>
      <c r="L11" s="9" t="n">
        <f aca="false">(K11-K10)/K10</f>
        <v>0.00543773790103305</v>
      </c>
      <c r="M11" s="10" t="n">
        <v>33.72</v>
      </c>
      <c r="N11" s="9" t="n">
        <f aca="false">(M11-M10)/M10</f>
        <v>0.0218181818181818</v>
      </c>
      <c r="O11" s="0" t="n">
        <v>1.72</v>
      </c>
      <c r="P11" s="9" t="n">
        <f aca="false">(O11-O10)/O10</f>
        <v>-0.0282485875706215</v>
      </c>
      <c r="Q11" s="10" t="n">
        <v>0.89</v>
      </c>
      <c r="R11" s="9" t="n">
        <f aca="false">(Q11-Q10)/Q10</f>
        <v>-0.101010101010101</v>
      </c>
      <c r="S11" s="10" t="n">
        <v>3.65</v>
      </c>
      <c r="T11" s="9" t="n">
        <f aca="false">(S11-S10)/S10</f>
        <v>-0.0343915343915345</v>
      </c>
      <c r="U11" s="13" t="n">
        <v>2.5</v>
      </c>
      <c r="V11" s="9" t="n">
        <f aca="false">(U11-U10)/U10</f>
        <v>-0.0347490347490347</v>
      </c>
      <c r="W11" s="0" t="n">
        <v>1.1007</v>
      </c>
      <c r="X11" s="23" t="n">
        <f aca="false">(W11-W10)/W10</f>
        <v>0.0191666666666666</v>
      </c>
      <c r="Y11" s="0" t="n">
        <v>1.4695</v>
      </c>
      <c r="Z11" s="24" t="n">
        <f aca="false">(Y11-Y10)/Y10</f>
        <v>0.00630007532698767</v>
      </c>
    </row>
    <row r="12" customFormat="false" ht="13.8" hidden="false" customHeight="false" outlineLevel="0" collapsed="false">
      <c r="A12" s="8" t="n">
        <v>37690</v>
      </c>
      <c r="B12" s="0" t="n">
        <v>70.04</v>
      </c>
      <c r="C12" s="9" t="n">
        <f aca="false">(B12-B11)/B11</f>
        <v>-0.0133821665023241</v>
      </c>
      <c r="D12" s="0" t="n">
        <v>30.98</v>
      </c>
      <c r="E12" s="9" t="n">
        <f aca="false">(D12-D11)/D11</f>
        <v>-0.00321750321750315</v>
      </c>
      <c r="F12" s="0" t="n">
        <v>84.13</v>
      </c>
      <c r="G12" s="9" t="n">
        <f aca="false">(F12-F11)/F11</f>
        <v>0.00972155544887185</v>
      </c>
      <c r="H12" s="0" t="n">
        <f aca="false">AVERAGE(F3:F11,'SPY 2002-01-02 to 2003-01-03'!B50:B54)</f>
        <v>87.6585714285714</v>
      </c>
      <c r="I12" s="0" t="n">
        <f aca="false">AVERAGE(F5:F11)</f>
        <v>84.7728571428572</v>
      </c>
      <c r="J12" s="0" t="n">
        <f aca="false">AVERAGE(F9:F11)</f>
        <v>84.4666666666667</v>
      </c>
      <c r="K12" s="10" t="n">
        <v>36.98</v>
      </c>
      <c r="L12" s="9" t="n">
        <f aca="false">(K12-K11)/K11</f>
        <v>0</v>
      </c>
      <c r="M12" s="10" t="n">
        <v>34.11</v>
      </c>
      <c r="N12" s="9" t="n">
        <f aca="false">(M12-M11)/M11</f>
        <v>0.0115658362989324</v>
      </c>
      <c r="O12" s="0" t="n">
        <v>1.74</v>
      </c>
      <c r="P12" s="9" t="n">
        <f aca="false">(O12-O11)/O11</f>
        <v>0.0116279069767445</v>
      </c>
      <c r="Q12" s="10" t="n">
        <v>0.88</v>
      </c>
      <c r="R12" s="9" t="n">
        <f aca="false">(Q12-Q11)/Q11</f>
        <v>-0.0112359550561798</v>
      </c>
      <c r="S12" s="10" t="n">
        <v>3.65</v>
      </c>
      <c r="T12" s="9" t="n">
        <f aca="false">(S12-S11)/S11</f>
        <v>0</v>
      </c>
      <c r="U12" s="13" t="n">
        <v>2.56</v>
      </c>
      <c r="V12" s="9" t="n">
        <f aca="false">(U12-U11)/U11</f>
        <v>0.0239999999999998</v>
      </c>
      <c r="W12" s="0" t="n">
        <v>1.0742</v>
      </c>
      <c r="X12" s="23" t="n">
        <f aca="false">(W12-W11)/W11</f>
        <v>-0.024075588262015</v>
      </c>
      <c r="Y12" s="0" t="n">
        <v>1.4672</v>
      </c>
      <c r="Z12" s="24" t="n">
        <f aca="false">(Y12-Y11)/Y11</f>
        <v>-0.00156515821708062</v>
      </c>
    </row>
    <row r="13" customFormat="false" ht="13.8" hidden="false" customHeight="false" outlineLevel="0" collapsed="false">
      <c r="A13" s="8" t="n">
        <v>37697</v>
      </c>
      <c r="B13" s="0" t="n">
        <v>75.3</v>
      </c>
      <c r="C13" s="9" t="n">
        <f aca="false">(B13-B12)/B12</f>
        <v>0.0750999428897771</v>
      </c>
      <c r="D13" s="0" t="n">
        <v>28.67</v>
      </c>
      <c r="E13" s="9" t="n">
        <f aca="false">(D13-D12)/D12</f>
        <v>-0.0745642349903163</v>
      </c>
      <c r="F13" s="0" t="n">
        <v>89.67</v>
      </c>
      <c r="G13" s="9" t="n">
        <f aca="false">(F13-F12)/F12</f>
        <v>0.0658504695114704</v>
      </c>
      <c r="H13" s="0" t="n">
        <f aca="false">AVERAGE(F3:F12,'SPY 2002-01-02 to 2003-01-03'!B51:B54)</f>
        <v>87.0942857142857</v>
      </c>
      <c r="I13" s="0" t="n">
        <f aca="false">AVERAGE(F6:F12)</f>
        <v>84.4514285714286</v>
      </c>
      <c r="J13" s="0" t="n">
        <f aca="false">AVERAGE(F10:F12)</f>
        <v>84.1166666666667</v>
      </c>
      <c r="K13" s="10" t="n">
        <v>36.66</v>
      </c>
      <c r="L13" s="9" t="n">
        <f aca="false">(K13-K12)/K12</f>
        <v>-0.00865332612222824</v>
      </c>
      <c r="M13" s="10" t="n">
        <v>33.72</v>
      </c>
      <c r="N13" s="9" t="n">
        <f aca="false">(M13-M12)/M12</f>
        <v>-0.0114335971855761</v>
      </c>
      <c r="O13" s="0" t="n">
        <v>1.65</v>
      </c>
      <c r="P13" s="9" t="n">
        <f aca="false">(O13-O12)/O12</f>
        <v>-0.0517241379310345</v>
      </c>
      <c r="Q13" s="10" t="n">
        <v>1.32</v>
      </c>
      <c r="R13" s="9" t="n">
        <f aca="false">(Q13-Q12)/Q12</f>
        <v>0.5</v>
      </c>
      <c r="S13" s="10" t="n">
        <v>3.97</v>
      </c>
      <c r="T13" s="9" t="n">
        <f aca="false">(S13-S12)/S12</f>
        <v>0.0876712328767123</v>
      </c>
      <c r="U13" s="13" t="n">
        <v>2.83</v>
      </c>
      <c r="V13" s="9" t="n">
        <f aca="false">(U13-U12)/U12</f>
        <v>0.10546875</v>
      </c>
      <c r="W13" s="0" t="n">
        <v>1.053</v>
      </c>
      <c r="X13" s="23" t="n">
        <f aca="false">(W13-W12)/W12</f>
        <v>-0.0197356172035004</v>
      </c>
      <c r="Y13" s="0" t="n">
        <v>1.4758</v>
      </c>
      <c r="Z13" s="24" t="n">
        <f aca="false">(Y13-Y12)/Y12</f>
        <v>0.00586150490730639</v>
      </c>
    </row>
    <row r="14" customFormat="false" ht="13.8" hidden="false" customHeight="false" outlineLevel="0" collapsed="false">
      <c r="A14" s="8" t="n">
        <v>37704</v>
      </c>
      <c r="B14" s="0" t="n">
        <v>72.36</v>
      </c>
      <c r="C14" s="9" t="n">
        <f aca="false">(B14-B13)/B13</f>
        <v>-0.0390438247011952</v>
      </c>
      <c r="D14" s="0" t="n">
        <v>27.75</v>
      </c>
      <c r="E14" s="9" t="n">
        <f aca="false">(D14-D13)/D13</f>
        <v>-0.0320892919427974</v>
      </c>
      <c r="F14" s="0" t="n">
        <v>86.71</v>
      </c>
      <c r="G14" s="9" t="n">
        <f aca="false">(F14-F13)/F13</f>
        <v>-0.0330099252815881</v>
      </c>
      <c r="H14" s="0" t="n">
        <f aca="false">AVERAGE(F3:F13,'SPY 2002-01-02 to 2003-01-03'!B52:B54)</f>
        <v>87.1178571428571</v>
      </c>
      <c r="I14" s="0" t="n">
        <f aca="false">AVERAGE(F7:F13)</f>
        <v>84.9671428571429</v>
      </c>
      <c r="J14" s="0" t="n">
        <f aca="false">AVERAGE(F11:F13)</f>
        <v>85.7066666666667</v>
      </c>
      <c r="K14" s="10" t="n">
        <v>30.46</v>
      </c>
      <c r="L14" s="9" t="n">
        <f aca="false">(K14-K13)/K13</f>
        <v>-0.16912165848336</v>
      </c>
      <c r="M14" s="10" t="n">
        <v>28.18</v>
      </c>
      <c r="N14" s="9" t="n">
        <f aca="false">(M14-M13)/M13</f>
        <v>-0.16429418742586</v>
      </c>
      <c r="O14" s="0" t="n">
        <v>1.67</v>
      </c>
      <c r="P14" s="9" t="n">
        <f aca="false">(O14-O13)/O13</f>
        <v>0.0121212121212121</v>
      </c>
      <c r="Q14" s="10" t="n">
        <v>1.26</v>
      </c>
      <c r="R14" s="9" t="n">
        <f aca="false">(Q14-Q13)/Q13</f>
        <v>-0.0454545454545455</v>
      </c>
      <c r="S14" s="10" t="n">
        <v>3.96</v>
      </c>
      <c r="T14" s="9" t="n">
        <f aca="false">(S14-S13)/S13</f>
        <v>-0.00251889168765738</v>
      </c>
      <c r="U14" s="13" t="n">
        <v>2.81</v>
      </c>
      <c r="V14" s="9" t="n">
        <f aca="false">(U14-U13)/U13</f>
        <v>-0.00706713780918729</v>
      </c>
      <c r="W14" s="0" t="n">
        <v>1.078</v>
      </c>
      <c r="X14" s="23" t="n">
        <f aca="false">(W14-W13)/W13</f>
        <v>0.0237416904083572</v>
      </c>
      <c r="Y14" s="0" t="n">
        <v>1.4766</v>
      </c>
      <c r="Z14" s="24" t="n">
        <f aca="false">(Y14-Y13)/Y13</f>
        <v>0.000542078872475886</v>
      </c>
    </row>
    <row r="15" customFormat="false" ht="13.8" hidden="false" customHeight="false" outlineLevel="0" collapsed="false">
      <c r="A15" s="8" t="n">
        <v>37711</v>
      </c>
      <c r="B15" s="0" t="n">
        <v>74.37</v>
      </c>
      <c r="C15" s="9" t="n">
        <f aca="false">(B15-B14)/B14</f>
        <v>0.0277777777777778</v>
      </c>
      <c r="D15" s="0" t="n">
        <v>29.13</v>
      </c>
      <c r="E15" s="9" t="n">
        <f aca="false">(D15-D14)/D14</f>
        <v>0.0497297297297297</v>
      </c>
      <c r="F15" s="0" t="n">
        <v>88.22</v>
      </c>
      <c r="G15" s="9" t="n">
        <f aca="false">(F15-F14)/F14</f>
        <v>0.0174143697382079</v>
      </c>
      <c r="H15" s="0" t="n">
        <f aca="false">AVERAGE(F3:F14,'SPY 2002-01-02 to 2003-01-03'!B53:B54)</f>
        <v>86.8835714285714</v>
      </c>
      <c r="I15" s="0" t="n">
        <f aca="false">AVERAGE(F8:F14)</f>
        <v>85.4371428571428</v>
      </c>
      <c r="J15" s="0" t="n">
        <f aca="false">AVERAGE(F12:F14)</f>
        <v>86.8366666666667</v>
      </c>
      <c r="K15" s="10" t="n">
        <v>30.43</v>
      </c>
      <c r="L15" s="9" t="n">
        <f aca="false">(K15-K14)/K14</f>
        <v>-0.000984898227183228</v>
      </c>
      <c r="M15" s="10" t="n">
        <v>26.95</v>
      </c>
      <c r="N15" s="9" t="n">
        <f aca="false">(M15-M14)/M14</f>
        <v>-0.0436479772888574</v>
      </c>
      <c r="O15" s="0" t="n">
        <v>1.64</v>
      </c>
      <c r="P15" s="9" t="n">
        <f aca="false">(O15-O14)/O14</f>
        <v>-0.0179640718562874</v>
      </c>
      <c r="Q15" s="10" t="n">
        <v>1.2</v>
      </c>
      <c r="R15" s="9" t="n">
        <f aca="false">(Q15-Q14)/Q14</f>
        <v>-0.0476190476190477</v>
      </c>
      <c r="S15" s="10" t="n">
        <v>3.9</v>
      </c>
      <c r="T15" s="9" t="n">
        <f aca="false">(S15-S14)/S14</f>
        <v>-0.0151515151515152</v>
      </c>
      <c r="U15" s="13" t="n">
        <v>2.8</v>
      </c>
      <c r="V15" s="9" t="n">
        <f aca="false">(U15-U14)/U14</f>
        <v>-0.00355871886121005</v>
      </c>
      <c r="W15" s="0" t="n">
        <v>1.073</v>
      </c>
      <c r="X15" s="23" t="n">
        <f aca="false">(W15-W14)/W14</f>
        <v>-0.00463821892393332</v>
      </c>
      <c r="Y15" s="0" t="n">
        <v>1.4865</v>
      </c>
      <c r="Z15" s="24" t="n">
        <f aca="false">(Y15-Y14)/Y14</f>
        <v>0.00670459162941895</v>
      </c>
    </row>
    <row r="16" customFormat="false" ht="13.8" hidden="false" customHeight="false" outlineLevel="0" collapsed="false">
      <c r="A16" s="8" t="n">
        <v>37718</v>
      </c>
      <c r="B16" s="0" t="n">
        <v>74.46</v>
      </c>
      <c r="C16" s="9" t="n">
        <f aca="false">(B16-B15)/B15</f>
        <v>0.00121016538926972</v>
      </c>
      <c r="D16" s="0" t="n">
        <v>24.44</v>
      </c>
      <c r="E16" s="9" t="n">
        <f aca="false">(D16-D15)/D15</f>
        <v>-0.161002403020941</v>
      </c>
      <c r="F16" s="0" t="n">
        <v>87.15</v>
      </c>
      <c r="G16" s="9" t="n">
        <f aca="false">(F16-F15)/F15</f>
        <v>-0.0121287689866243</v>
      </c>
      <c r="H16" s="0" t="n">
        <f aca="false">AVERAGE(F3:F15,'SPY 2002-01-02 to 2003-01-03'!B54)</f>
        <v>86.9435714285714</v>
      </c>
      <c r="I16" s="0" t="n">
        <f aca="false">AVERAGE(F9:F15)</f>
        <v>86.0185714285714</v>
      </c>
      <c r="J16" s="0" t="n">
        <f aca="false">AVERAGE(F13:F15)</f>
        <v>88.2</v>
      </c>
      <c r="K16" s="10" t="n">
        <v>29.33</v>
      </c>
      <c r="L16" s="9" t="n">
        <f aca="false">(K16-K15)/K15</f>
        <v>-0.0361485376273415</v>
      </c>
      <c r="M16" s="10" t="n">
        <v>26.93</v>
      </c>
      <c r="N16" s="9" t="n">
        <f aca="false">(M16-M15)/M15</f>
        <v>-0.000742115027829298</v>
      </c>
      <c r="O16" s="0" t="n">
        <v>1.6</v>
      </c>
      <c r="P16" s="9" t="n">
        <f aca="false">(O16-O15)/O15</f>
        <v>-0.0243902439024392</v>
      </c>
      <c r="Q16" s="10" t="n">
        <v>1.32</v>
      </c>
      <c r="R16" s="9" t="n">
        <f aca="false">(Q16-Q15)/Q15</f>
        <v>0.1</v>
      </c>
      <c r="S16" s="10" t="n">
        <v>3.97</v>
      </c>
      <c r="T16" s="9" t="n">
        <f aca="false">(S16-S15)/S15</f>
        <v>0.0179487179487179</v>
      </c>
      <c r="U16" s="13" t="n">
        <v>2.84</v>
      </c>
      <c r="V16" s="9" t="n">
        <f aca="false">(U16-U15)/U15</f>
        <v>0.0142857142857145</v>
      </c>
      <c r="W16" s="0" t="n">
        <v>1.0755</v>
      </c>
      <c r="X16" s="23" t="n">
        <f aca="false">(W16-W15)/W15</f>
        <v>0.00232991612301952</v>
      </c>
      <c r="Y16" s="0" t="n">
        <v>1.4976</v>
      </c>
      <c r="Z16" s="24" t="n">
        <f aca="false">(Y16-Y15)/Y15</f>
        <v>0.0074672048435924</v>
      </c>
    </row>
    <row r="17" customFormat="false" ht="13.8" hidden="false" customHeight="false" outlineLevel="0" collapsed="false">
      <c r="A17" s="8" t="n">
        <v>37725</v>
      </c>
      <c r="B17" s="0" t="n">
        <v>77.27</v>
      </c>
      <c r="C17" s="9" t="n">
        <f aca="false">(B17-B16)/B16</f>
        <v>0.0377383830244427</v>
      </c>
      <c r="D17" s="0" t="n">
        <v>21.5</v>
      </c>
      <c r="E17" s="9" t="n">
        <f aca="false">(D17-D16)/D16</f>
        <v>-0.120294599018003</v>
      </c>
      <c r="F17" s="0" t="n">
        <v>89.56</v>
      </c>
      <c r="G17" s="9" t="n">
        <f aca="false">(F17-F16)/F16</f>
        <v>0.027653471026965</v>
      </c>
      <c r="H17" s="0" t="n">
        <f aca="false">AVERAGE(F3:F16)</f>
        <v>86.6435714285715</v>
      </c>
      <c r="I17" s="0" t="n">
        <f aca="false">AVERAGE(F10:F16)</f>
        <v>86.3</v>
      </c>
      <c r="J17" s="0" t="n">
        <f aca="false">AVERAGE(F14:F16)</f>
        <v>87.36</v>
      </c>
      <c r="K17" s="10" t="n">
        <v>28.03</v>
      </c>
      <c r="L17" s="9" t="n">
        <f aca="false">(K17-K16)/K16</f>
        <v>-0.0443232185475621</v>
      </c>
      <c r="M17" s="10" t="n">
        <v>24.96</v>
      </c>
      <c r="N17" s="9" t="n">
        <f aca="false">(M17-M16)/M16</f>
        <v>-0.0731526178982547</v>
      </c>
      <c r="O17" s="0" t="n">
        <v>1.61</v>
      </c>
      <c r="P17" s="9" t="n">
        <f aca="false">(O17-O16)/O16</f>
        <v>0.00625000000000001</v>
      </c>
      <c r="Q17" s="10" t="n">
        <v>1.37</v>
      </c>
      <c r="R17" s="9" t="n">
        <f aca="false">(Q17-Q16)/Q16</f>
        <v>0.0378787878787879</v>
      </c>
      <c r="S17" s="10" t="n">
        <v>3.99</v>
      </c>
      <c r="T17" s="9" t="n">
        <f aca="false">(S17-S16)/S16</f>
        <v>0.00503778337531498</v>
      </c>
      <c r="U17" s="13" t="n">
        <v>2.83</v>
      </c>
      <c r="V17" s="9" t="n">
        <f aca="false">(U17-U16)/U16</f>
        <v>-0.00352112676056346</v>
      </c>
      <c r="W17" s="0" t="n">
        <v>1.0884</v>
      </c>
      <c r="X17" s="23" t="n">
        <f aca="false">(W17-W16)/W16</f>
        <v>0.0119944211994422</v>
      </c>
      <c r="Y17" s="0" t="n">
        <v>1.5033</v>
      </c>
      <c r="Z17" s="24" t="n">
        <f aca="false">(Y17-Y16)/Y16</f>
        <v>0.00380608974358977</v>
      </c>
    </row>
    <row r="18" customFormat="false" ht="13.8" hidden="false" customHeight="false" outlineLevel="0" collapsed="false">
      <c r="A18" s="8" t="n">
        <v>37732</v>
      </c>
      <c r="B18" s="0" t="n">
        <v>77.65</v>
      </c>
      <c r="C18" s="9" t="n">
        <f aca="false">(B18-B17)/B17</f>
        <v>0.0049178206289635</v>
      </c>
      <c r="D18" s="0" t="n">
        <v>20.8</v>
      </c>
      <c r="E18" s="9" t="n">
        <f aca="false">(D18-D17)/D17</f>
        <v>-0.0325581395348837</v>
      </c>
      <c r="F18" s="0" t="n">
        <v>90.23</v>
      </c>
      <c r="G18" s="9" t="n">
        <f aca="false">(F18-F17)/F17</f>
        <v>0.00748101831174633</v>
      </c>
      <c r="H18" s="0" t="n">
        <f aca="false">AVERAGE(F4:F17)</f>
        <v>86.3935714285715</v>
      </c>
      <c r="I18" s="0" t="n">
        <f aca="false">AVERAGE(F11:F17)</f>
        <v>86.9657142857143</v>
      </c>
      <c r="J18" s="0" t="n">
        <f aca="false">AVERAGE(F15:F17)</f>
        <v>88.31</v>
      </c>
      <c r="K18" s="10" t="n">
        <v>29.28</v>
      </c>
      <c r="L18" s="9" t="n">
        <f aca="false">(K18-K17)/K17</f>
        <v>0.0445950767035319</v>
      </c>
      <c r="M18" s="10" t="n">
        <v>24.92</v>
      </c>
      <c r="N18" s="9" t="n">
        <f aca="false">(M18-M17)/M17</f>
        <v>-0.00160256410256407</v>
      </c>
      <c r="O18" s="0" t="n">
        <v>1.51</v>
      </c>
      <c r="P18" s="9" t="n">
        <f aca="false">(O18-O17)/O17</f>
        <v>-0.0621118012422358</v>
      </c>
      <c r="Q18" s="10" t="n">
        <v>1.46</v>
      </c>
      <c r="R18" s="9" t="n">
        <f aca="false">(Q18-Q17)/Q17</f>
        <v>0.0656934306569342</v>
      </c>
      <c r="S18" s="10" t="n">
        <v>3.97</v>
      </c>
      <c r="T18" s="9" t="n">
        <f aca="false">(S18-S17)/S17</f>
        <v>-0.00501253132832092</v>
      </c>
      <c r="U18" s="13" t="n">
        <v>2.83</v>
      </c>
      <c r="V18" s="9" t="n">
        <f aca="false">(U18-U17)/U17</f>
        <v>0</v>
      </c>
      <c r="W18" s="0" t="n">
        <v>1.1025</v>
      </c>
      <c r="X18" s="23" t="n">
        <f aca="false">(W18-W17)/W17</f>
        <v>0.012954796030871</v>
      </c>
      <c r="Y18" s="0" t="n">
        <v>1.5025</v>
      </c>
      <c r="Z18" s="24" t="n">
        <f aca="false">(Y18-Y17)/Y17</f>
        <v>-0.000532162575666955</v>
      </c>
    </row>
    <row r="19" customFormat="false" ht="13.8" hidden="false" customHeight="false" outlineLevel="0" collapsed="false">
      <c r="A19" s="8" t="n">
        <v>37739</v>
      </c>
      <c r="B19" s="0" t="n">
        <v>80.67</v>
      </c>
      <c r="C19" s="9" t="n">
        <f aca="false">(B19-B18)/B18</f>
        <v>0.0388924661944623</v>
      </c>
      <c r="D19" s="0" t="n">
        <v>20.63</v>
      </c>
      <c r="E19" s="9" t="n">
        <f aca="false">(D19-D18)/D18</f>
        <v>-0.00817307692307701</v>
      </c>
      <c r="F19" s="0" t="n">
        <v>93.21</v>
      </c>
      <c r="G19" s="9" t="n">
        <f aca="false">(F19-F18)/F18</f>
        <v>0.0330267095201151</v>
      </c>
      <c r="H19" s="0" t="n">
        <f aca="false">AVERAGE(F5:F18)</f>
        <v>86.3628571428571</v>
      </c>
      <c r="I19" s="0" t="n">
        <f aca="false">AVERAGE(F12:F18)</f>
        <v>87.9528571428572</v>
      </c>
      <c r="J19" s="0" t="n">
        <f aca="false">AVERAGE(F16:F18)</f>
        <v>88.98</v>
      </c>
      <c r="K19" s="10" t="n">
        <v>28.43</v>
      </c>
      <c r="L19" s="9" t="n">
        <f aca="false">(K19-K18)/K18</f>
        <v>-0.0290300546448088</v>
      </c>
      <c r="M19" s="10" t="n">
        <v>24.66</v>
      </c>
      <c r="N19" s="9" t="n">
        <f aca="false">(M19-M18)/M18</f>
        <v>-0.0104333868378813</v>
      </c>
      <c r="O19" s="0" t="n">
        <v>1.41</v>
      </c>
      <c r="P19" s="9" t="n">
        <f aca="false">(O19-O18)/O18</f>
        <v>-0.066225165562914</v>
      </c>
      <c r="Q19" s="10" t="n">
        <v>1.47</v>
      </c>
      <c r="R19" s="9" t="n">
        <f aca="false">(Q19-Q18)/Q18</f>
        <v>0.00684931506849316</v>
      </c>
      <c r="S19" s="10" t="n">
        <v>3.92</v>
      </c>
      <c r="T19" s="9" t="n">
        <f aca="false">(S19-S18)/S18</f>
        <v>-0.0125944584382871</v>
      </c>
      <c r="U19" s="13" t="n">
        <v>2.81</v>
      </c>
      <c r="V19" s="9" t="n">
        <f aca="false">(U19-U18)/U18</f>
        <v>-0.00706713780918744</v>
      </c>
      <c r="W19" s="0" t="n">
        <v>1.1227</v>
      </c>
      <c r="X19" s="23" t="n">
        <f aca="false">(W19-W18)/W18</f>
        <v>0.0183219954648526</v>
      </c>
      <c r="Y19" s="0" t="n">
        <v>1.5091</v>
      </c>
      <c r="Z19" s="24" t="n">
        <f aca="false">(Y19-Y18)/Y18</f>
        <v>0.00439267886855252</v>
      </c>
    </row>
    <row r="20" customFormat="false" ht="13.8" hidden="false" customHeight="false" outlineLevel="0" collapsed="false">
      <c r="A20" s="8" t="n">
        <v>37746</v>
      </c>
      <c r="B20" s="0" t="n">
        <v>79.88</v>
      </c>
      <c r="C20" s="9" t="n">
        <f aca="false">(B20-B19)/B19</f>
        <v>-0.00979298376100169</v>
      </c>
      <c r="D20" s="0" t="n">
        <v>19.69</v>
      </c>
      <c r="E20" s="9" t="n">
        <f aca="false">(D20-D19)/D19</f>
        <v>-0.0455647115850702</v>
      </c>
      <c r="F20" s="0" t="n">
        <v>93.73</v>
      </c>
      <c r="G20" s="9" t="n">
        <f aca="false">(F20-F19)/F19</f>
        <v>0.00557880055788017</v>
      </c>
      <c r="H20" s="0" t="n">
        <f aca="false">AVERAGE(F6:F19)</f>
        <v>86.8507142857143</v>
      </c>
      <c r="I20" s="0" t="n">
        <f aca="false">AVERAGE(F13:F19)</f>
        <v>89.25</v>
      </c>
      <c r="J20" s="0" t="n">
        <f aca="false">AVERAGE(F17:F19)</f>
        <v>91</v>
      </c>
      <c r="K20" s="10" t="n">
        <v>25.69</v>
      </c>
      <c r="L20" s="9" t="n">
        <f aca="false">(K20-K19)/K19</f>
        <v>-0.0963770664790714</v>
      </c>
      <c r="M20" s="10" t="n">
        <v>23.55</v>
      </c>
      <c r="N20" s="9" t="n">
        <f aca="false">(M20-M19)/M19</f>
        <v>-0.0450121654501216</v>
      </c>
      <c r="O20" s="0" t="n">
        <v>1.41</v>
      </c>
      <c r="P20" s="9" t="n">
        <f aca="false">(O20-O19)/O19</f>
        <v>0</v>
      </c>
      <c r="Q20" s="10" t="n">
        <v>1.29</v>
      </c>
      <c r="R20" s="9" t="n">
        <f aca="false">(Q20-Q19)/Q19</f>
        <v>-0.122448979591837</v>
      </c>
      <c r="S20" s="10" t="n">
        <v>3.77</v>
      </c>
      <c r="T20" s="9" t="n">
        <f aca="false">(S20-S19)/S19</f>
        <v>-0.038265306122449</v>
      </c>
      <c r="U20" s="13" t="n">
        <v>2.68</v>
      </c>
      <c r="V20" s="9" t="n">
        <f aca="false">(U20-U19)/U19</f>
        <v>-0.0462633451957295</v>
      </c>
      <c r="W20" s="0" t="n">
        <v>1.1491</v>
      </c>
      <c r="X20" s="23" t="n">
        <f aca="false">(W20-W19)/W19</f>
        <v>0.0235147412487753</v>
      </c>
      <c r="Y20" s="0" t="n">
        <v>1.5088</v>
      </c>
      <c r="Z20" s="24" t="n">
        <f aca="false">(Y20-Y19)/Y19</f>
        <v>-0.000198793983168901</v>
      </c>
    </row>
    <row r="21" customFormat="false" ht="13.8" hidden="false" customHeight="false" outlineLevel="0" collapsed="false">
      <c r="A21" s="8" t="n">
        <v>37753</v>
      </c>
      <c r="B21" s="0" t="n">
        <v>81.33</v>
      </c>
      <c r="C21" s="9" t="n">
        <f aca="false">(B21-B20)/B20</f>
        <v>0.0181522283425138</v>
      </c>
      <c r="D21" s="0" t="n">
        <v>18.4</v>
      </c>
      <c r="E21" s="9" t="n">
        <f aca="false">(D21-D20)/D20</f>
        <v>-0.0655154900964958</v>
      </c>
      <c r="F21" s="0" t="n">
        <v>94.87</v>
      </c>
      <c r="G21" s="9" t="n">
        <f aca="false">(F21-F20)/F20</f>
        <v>0.0121625946868665</v>
      </c>
      <c r="H21" s="0" t="n">
        <f aca="false">AVERAGE(F7:F20)</f>
        <v>87.3985714285714</v>
      </c>
      <c r="I21" s="0" t="n">
        <f aca="false">AVERAGE(F14:F20)</f>
        <v>89.83</v>
      </c>
      <c r="J21" s="0" t="n">
        <f aca="false">AVERAGE(F18:F20)</f>
        <v>92.39</v>
      </c>
      <c r="K21" s="10" t="n">
        <v>26.58</v>
      </c>
      <c r="L21" s="9" t="n">
        <f aca="false">(K21-K20)/K20</f>
        <v>0.0346438302841571</v>
      </c>
      <c r="M21" s="10" t="n">
        <v>24.31</v>
      </c>
      <c r="N21" s="9" t="n">
        <f aca="false">(M21-M20)/M20</f>
        <v>0.0322717622080679</v>
      </c>
      <c r="O21" s="0" t="n">
        <v>1.36</v>
      </c>
      <c r="P21" s="9" t="n">
        <f aca="false">(O21-O20)/O20</f>
        <v>-0.0354609929078016</v>
      </c>
      <c r="Q21" s="10" t="n">
        <v>1.16</v>
      </c>
      <c r="R21" s="9" t="n">
        <f aca="false">(Q21-Q20)/Q20</f>
        <v>-0.10077519379845</v>
      </c>
      <c r="S21" s="10" t="n">
        <v>3.56</v>
      </c>
      <c r="T21" s="9" t="n">
        <f aca="false">(S21-S20)/S20</f>
        <v>-0.0557029177718833</v>
      </c>
      <c r="U21" s="13" t="n">
        <v>2.51</v>
      </c>
      <c r="V21" s="9" t="n">
        <f aca="false">(U21-U20)/U20</f>
        <v>-0.0634328358208955</v>
      </c>
      <c r="W21" s="0" t="n">
        <v>1.1571</v>
      </c>
      <c r="X21" s="23" t="n">
        <f aca="false">(W21-W20)/W20</f>
        <v>0.00696197023757724</v>
      </c>
      <c r="Y21" s="0" t="n">
        <v>1.513</v>
      </c>
      <c r="Z21" s="24" t="n">
        <f aca="false">(Y21-Y20)/Y20</f>
        <v>0.00278366914103922</v>
      </c>
    </row>
    <row r="22" customFormat="false" ht="13.8" hidden="false" customHeight="false" outlineLevel="0" collapsed="false">
      <c r="A22" s="8" t="n">
        <v>37760</v>
      </c>
      <c r="B22" s="0" t="n">
        <v>80.54</v>
      </c>
      <c r="C22" s="9" t="n">
        <f aca="false">(B22-B21)/B21</f>
        <v>-0.00971351284888715</v>
      </c>
      <c r="D22" s="0" t="n">
        <v>19.17</v>
      </c>
      <c r="E22" s="9" t="n">
        <f aca="false">(D22-D21)/D21</f>
        <v>0.0418478260869567</v>
      </c>
      <c r="F22" s="0" t="n">
        <v>93.76</v>
      </c>
      <c r="G22" s="9" t="n">
        <f aca="false">(F22-F21)/F21</f>
        <v>-0.0117002213555392</v>
      </c>
      <c r="H22" s="0" t="n">
        <f aca="false">AVERAGE(F8:F21)</f>
        <v>88.2164285714286</v>
      </c>
      <c r="I22" s="0" t="n">
        <f aca="false">AVERAGE(F15:F21)</f>
        <v>90.9957142857143</v>
      </c>
      <c r="J22" s="0" t="n">
        <f aca="false">AVERAGE(F19:F21)</f>
        <v>93.9366666666667</v>
      </c>
      <c r="K22" s="10" t="n">
        <v>28.54</v>
      </c>
      <c r="L22" s="9" t="n">
        <f aca="false">(K22-K21)/K21</f>
        <v>0.0737396538750941</v>
      </c>
      <c r="M22" s="10" t="n">
        <v>26.21</v>
      </c>
      <c r="N22" s="9" t="n">
        <f aca="false">(M22-M21)/M21</f>
        <v>0.0781571369806665</v>
      </c>
      <c r="O22" s="0" t="n">
        <v>1.32</v>
      </c>
      <c r="P22" s="9" t="n">
        <f aca="false">(O22-O21)/O21</f>
        <v>-0.0294117647058822</v>
      </c>
      <c r="Q22" s="10" t="n">
        <v>1.03</v>
      </c>
      <c r="R22" s="9" t="n">
        <f aca="false">(Q22-Q21)/Q21</f>
        <v>-0.112068965517241</v>
      </c>
      <c r="S22" s="10" t="n">
        <v>3.38</v>
      </c>
      <c r="T22" s="9" t="n">
        <f aca="false">(S22-S21)/S21</f>
        <v>-0.050561797752809</v>
      </c>
      <c r="U22" s="13" t="n">
        <v>2.34</v>
      </c>
      <c r="V22" s="9" t="n">
        <f aca="false">(U22-U21)/U21</f>
        <v>-0.0677290836653386</v>
      </c>
      <c r="W22" s="0" t="n">
        <v>1.1807</v>
      </c>
      <c r="X22" s="23" t="n">
        <f aca="false">(W22-W21)/W21</f>
        <v>0.0203958171290295</v>
      </c>
      <c r="Y22" s="0" t="n">
        <v>1.5236</v>
      </c>
      <c r="Z22" s="24" t="n">
        <f aca="false">(Y22-Y21)/Y21</f>
        <v>0.00700594844679456</v>
      </c>
    </row>
    <row r="23" customFormat="false" ht="13.8" hidden="false" customHeight="false" outlineLevel="0" collapsed="false">
      <c r="A23" s="8" t="n">
        <v>37768</v>
      </c>
      <c r="B23" s="0" t="n">
        <v>83.46</v>
      </c>
      <c r="C23" s="9" t="n">
        <f aca="false">(B23-B22)/B22</f>
        <v>0.0362552768810527</v>
      </c>
      <c r="D23" s="0" t="n">
        <v>19.47</v>
      </c>
      <c r="E23" s="9" t="n">
        <f aca="false">(D23-D22)/D22</f>
        <v>0.0156494522691704</v>
      </c>
      <c r="F23" s="0" t="n">
        <v>96.95</v>
      </c>
      <c r="G23" s="9" t="n">
        <f aca="false">(F23-F22)/F22</f>
        <v>0.0340230375426621</v>
      </c>
      <c r="H23" s="0" t="n">
        <f aca="false">AVERAGE(F9:F22)</f>
        <v>88.9028571428571</v>
      </c>
      <c r="I23" s="0" t="n">
        <f aca="false">AVERAGE(F16:F22)</f>
        <v>91.7871428571429</v>
      </c>
      <c r="J23" s="0" t="n">
        <f aca="false">AVERAGE(F20:F22)</f>
        <v>94.12</v>
      </c>
      <c r="K23" s="10" t="n">
        <v>29.29</v>
      </c>
      <c r="L23" s="9" t="n">
        <f aca="false">(K23-K22)/K22</f>
        <v>0.0262789067974772</v>
      </c>
      <c r="M23" s="10" t="n">
        <v>27.19</v>
      </c>
      <c r="N23" s="9" t="n">
        <f aca="false">(M23-M22)/M22</f>
        <v>0.0373903090423503</v>
      </c>
      <c r="O23" s="0" t="n">
        <v>1.25</v>
      </c>
      <c r="P23" s="9" t="n">
        <f aca="false">(O23-O22)/O22</f>
        <v>-0.0530303030303032</v>
      </c>
      <c r="Q23" s="10" t="n">
        <v>1.07</v>
      </c>
      <c r="R23" s="9" t="n">
        <f aca="false">(Q23-Q22)/Q22</f>
        <v>0.0388349514563107</v>
      </c>
      <c r="S23" s="10" t="n">
        <v>3.39</v>
      </c>
      <c r="T23" s="9" t="n">
        <f aca="false">(S23-S22)/S22</f>
        <v>0.00295857988165687</v>
      </c>
      <c r="U23" s="13" t="n">
        <v>2.3</v>
      </c>
      <c r="V23" s="9" t="n">
        <f aca="false">(U23-U22)/U22</f>
        <v>-0.0170940170940171</v>
      </c>
      <c r="W23" s="0" t="n">
        <v>1.1785</v>
      </c>
      <c r="X23" s="23" t="n">
        <f aca="false">(W23-W22)/W22</f>
        <v>-0.00186330143135426</v>
      </c>
      <c r="Y23" s="0" t="n">
        <v>1.53</v>
      </c>
      <c r="Z23" s="24" t="n">
        <f aca="false">(Y23-Y22)/Y22</f>
        <v>0.00420057757941714</v>
      </c>
    </row>
    <row r="24" customFormat="false" ht="13.8" hidden="false" customHeight="false" outlineLevel="0" collapsed="false">
      <c r="A24" s="8" t="n">
        <v>37774</v>
      </c>
      <c r="B24" s="0" t="n">
        <v>87.15</v>
      </c>
      <c r="C24" s="9" t="n">
        <f aca="false">(B24-B23)/B23</f>
        <v>0.0442127965492453</v>
      </c>
      <c r="D24" s="0" t="n">
        <v>21.25</v>
      </c>
      <c r="E24" s="9" t="n">
        <f aca="false">(D24-D23)/D23</f>
        <v>0.0914227015921932</v>
      </c>
      <c r="F24" s="0" t="n">
        <v>99.26</v>
      </c>
      <c r="G24" s="9" t="n">
        <f aca="false">(F24-F23)/F23</f>
        <v>0.0238267148014441</v>
      </c>
      <c r="H24" s="0" t="n">
        <f aca="false">AVERAGE(F10:F23)</f>
        <v>89.7435714285715</v>
      </c>
      <c r="I24" s="0" t="n">
        <f aca="false">AVERAGE(F17:F23)</f>
        <v>93.1871428571428</v>
      </c>
      <c r="J24" s="0" t="n">
        <f aca="false">AVERAGE(F21:F23)</f>
        <v>95.1933333333333</v>
      </c>
      <c r="K24" s="10" t="n">
        <v>29.1</v>
      </c>
      <c r="L24" s="9" t="n">
        <f aca="false">(K24-K23)/K23</f>
        <v>-0.00648685558210986</v>
      </c>
      <c r="M24" s="10" t="n">
        <v>26.56</v>
      </c>
      <c r="N24" s="9" t="n">
        <f aca="false">(M24-M23)/M23</f>
        <v>-0.0231702831923502</v>
      </c>
      <c r="O24" s="0" t="n">
        <v>1.29</v>
      </c>
      <c r="P24" s="9" t="n">
        <f aca="false">(O24-O23)/O23</f>
        <v>0.0320000000000002</v>
      </c>
      <c r="Q24" s="10" t="n">
        <v>0.98</v>
      </c>
      <c r="R24" s="9" t="n">
        <f aca="false">(Q24-Q23)/Q23</f>
        <v>-0.0841121495327104</v>
      </c>
      <c r="S24" s="10" t="n">
        <v>3.36</v>
      </c>
      <c r="T24" s="9" t="n">
        <f aca="false">(S24-S23)/S23</f>
        <v>-0.00884955752212397</v>
      </c>
      <c r="U24" s="13" t="n">
        <v>2.31</v>
      </c>
      <c r="V24" s="9" t="n">
        <f aca="false">(U24-U23)/U23</f>
        <v>0.00434782608695643</v>
      </c>
      <c r="W24" s="0" t="n">
        <v>1.1698</v>
      </c>
      <c r="X24" s="23" t="n">
        <f aca="false">(W24-W23)/W23</f>
        <v>-0.00738226559185418</v>
      </c>
      <c r="Y24" s="0" t="n">
        <v>1.5449</v>
      </c>
      <c r="Z24" s="24" t="n">
        <f aca="false">(Y24-Y23)/Y23</f>
        <v>0.00973856209150321</v>
      </c>
    </row>
    <row r="25" customFormat="false" ht="13.8" hidden="false" customHeight="false" outlineLevel="0" collapsed="false">
      <c r="A25" s="8" t="n">
        <v>37781</v>
      </c>
      <c r="B25" s="0" t="n">
        <v>87.72</v>
      </c>
      <c r="C25" s="9" t="n">
        <f aca="false">(B25-B24)/B24</f>
        <v>0.00654044750430285</v>
      </c>
      <c r="D25" s="0" t="n">
        <v>20.66</v>
      </c>
      <c r="E25" s="9" t="n">
        <f aca="false">(D25-D24)/D24</f>
        <v>-0.0277647058823529</v>
      </c>
      <c r="F25" s="0" t="n">
        <v>99.56</v>
      </c>
      <c r="G25" s="9" t="n">
        <f aca="false">(F25-F24)/F24</f>
        <v>0.00302236550473501</v>
      </c>
      <c r="H25" s="0" t="n">
        <f aca="false">AVERAGE(F11:F24)</f>
        <v>90.7692857142857</v>
      </c>
      <c r="I25" s="0" t="n">
        <f aca="false">AVERAGE(F18:F24)</f>
        <v>94.5728571428571</v>
      </c>
      <c r="J25" s="0" t="n">
        <f aca="false">AVERAGE(F22:F24)</f>
        <v>96.6566666666667</v>
      </c>
      <c r="K25" s="10" t="n">
        <v>30.68</v>
      </c>
      <c r="L25" s="9" t="n">
        <f aca="false">(K25-K24)/K24</f>
        <v>0.0542955326460481</v>
      </c>
      <c r="M25" s="10" t="n">
        <v>27.92</v>
      </c>
      <c r="N25" s="9" t="n">
        <f aca="false">(M25-M24)/M24</f>
        <v>0.0512048192771085</v>
      </c>
      <c r="O25" s="0" t="n">
        <v>1.33</v>
      </c>
      <c r="P25" s="9" t="n">
        <f aca="false">(O25-O24)/O24</f>
        <v>0.0310077519379844</v>
      </c>
      <c r="Q25" s="10" t="n">
        <v>0.8</v>
      </c>
      <c r="R25" s="9" t="n">
        <f aca="false">(Q25-Q24)/Q24</f>
        <v>-0.183673469387755</v>
      </c>
      <c r="S25" s="10" t="n">
        <v>3.2</v>
      </c>
      <c r="T25" s="9" t="n">
        <f aca="false">(S25-S24)/S24</f>
        <v>-0.0476190476190475</v>
      </c>
      <c r="U25" s="13" t="n">
        <v>2.28</v>
      </c>
      <c r="V25" s="9" t="n">
        <f aca="false">(U25-U24)/U24</f>
        <v>-0.0129870129870127</v>
      </c>
      <c r="W25" s="0" t="n">
        <v>1.1867</v>
      </c>
      <c r="X25" s="23" t="n">
        <f aca="false">(W25-W24)/W24</f>
        <v>0.0144469140023937</v>
      </c>
      <c r="Y25" s="0" t="n">
        <v>1.5413</v>
      </c>
      <c r="Z25" s="24" t="n">
        <f aca="false">(Y25-Y24)/Y24</f>
        <v>-0.00233024791248628</v>
      </c>
    </row>
    <row r="26" customFormat="false" ht="13.8" hidden="false" customHeight="false" outlineLevel="0" collapsed="false">
      <c r="A26" s="8" t="n">
        <v>37788</v>
      </c>
      <c r="B26" s="0" t="n">
        <v>87.38</v>
      </c>
      <c r="C26" s="9" t="n">
        <f aca="false">(B26-B25)/B25</f>
        <v>-0.0038759689922481</v>
      </c>
      <c r="D26" s="0" t="n">
        <v>19.14</v>
      </c>
      <c r="E26" s="9" t="n">
        <f aca="false">(D26-D25)/D25</f>
        <v>-0.0735721200387221</v>
      </c>
      <c r="F26" s="0" t="n">
        <v>99.44</v>
      </c>
      <c r="G26" s="9" t="n">
        <f aca="false">(F26-F25)/F25</f>
        <v>-0.00120530333467261</v>
      </c>
      <c r="H26" s="0" t="n">
        <f aca="false">AVERAGE(F12:F25)</f>
        <v>91.9292857142857</v>
      </c>
      <c r="I26" s="0" t="n">
        <f aca="false">AVERAGE(F19:F25)</f>
        <v>95.9057142857143</v>
      </c>
      <c r="J26" s="0" t="n">
        <f aca="false">AVERAGE(F23:F25)</f>
        <v>98.59</v>
      </c>
      <c r="K26" s="10" t="n">
        <v>31.46</v>
      </c>
      <c r="L26" s="9" t="n">
        <f aca="false">(K26-K25)/K25</f>
        <v>0.0254237288135594</v>
      </c>
      <c r="M26" s="10" t="n">
        <v>28.38</v>
      </c>
      <c r="N26" s="9" t="n">
        <f aca="false">(M26-M25)/M25</f>
        <v>0.0164756446991403</v>
      </c>
      <c r="O26" s="0" t="n">
        <v>1.37</v>
      </c>
      <c r="P26" s="9" t="n">
        <f aca="false">(O26-O25)/O25</f>
        <v>0.030075187969925</v>
      </c>
      <c r="Q26" s="10" t="n">
        <v>0.9</v>
      </c>
      <c r="R26" s="9" t="n">
        <f aca="false">(Q26-Q25)/Q25</f>
        <v>0.125</v>
      </c>
      <c r="S26" s="10" t="n">
        <v>3.31</v>
      </c>
      <c r="T26" s="9" t="n">
        <f aca="false">(S26-S25)/S25</f>
        <v>0.034375</v>
      </c>
      <c r="U26" s="13" t="n">
        <v>2.47</v>
      </c>
      <c r="V26" s="9" t="n">
        <f aca="false">(U26-U25)/U25</f>
        <v>0.0833333333333333</v>
      </c>
      <c r="W26" s="0" t="n">
        <v>1.1582</v>
      </c>
      <c r="X26" s="23" t="n">
        <f aca="false">(W26-W25)/W25</f>
        <v>-0.0240161793208058</v>
      </c>
      <c r="Y26" s="0" t="n">
        <v>1.5428</v>
      </c>
      <c r="Z26" s="24" t="n">
        <f aca="false">(Y26-Y25)/Y25</f>
        <v>0.000973204437812129</v>
      </c>
    </row>
    <row r="27" customFormat="false" ht="13.8" hidden="false" customHeight="false" outlineLevel="0" collapsed="false">
      <c r="A27" s="8" t="n">
        <v>37795</v>
      </c>
      <c r="B27" s="0" t="n">
        <v>86.07</v>
      </c>
      <c r="C27" s="9" t="n">
        <f aca="false">(B27-B26)/B26</f>
        <v>-0.0149919890135043</v>
      </c>
      <c r="D27" s="0" t="n">
        <v>19.16</v>
      </c>
      <c r="E27" s="9" t="n">
        <f aca="false">(D27-D26)/D26</f>
        <v>0.00104493207941482</v>
      </c>
      <c r="F27" s="0" t="n">
        <v>97.66</v>
      </c>
      <c r="G27" s="9" t="n">
        <f aca="false">(F27-F26)/F26</f>
        <v>-0.0179002413515688</v>
      </c>
      <c r="H27" s="0" t="n">
        <f aca="false">AVERAGE(F13:F26)</f>
        <v>93.0228571428571</v>
      </c>
      <c r="I27" s="0" t="n">
        <f aca="false">AVERAGE(F20:F26)</f>
        <v>96.7957142857143</v>
      </c>
      <c r="J27" s="0" t="n">
        <f aca="false">AVERAGE(F24:F26)</f>
        <v>99.42</v>
      </c>
      <c r="K27" s="10" t="n">
        <v>30.6</v>
      </c>
      <c r="L27" s="9" t="n">
        <f aca="false">(K27-K26)/K26</f>
        <v>-0.0273363000635728</v>
      </c>
      <c r="M27" s="10" t="n">
        <v>26.88</v>
      </c>
      <c r="N27" s="9" t="n">
        <f aca="false">(M27-M26)/M26</f>
        <v>-0.0528541226215645</v>
      </c>
      <c r="O27" s="0" t="n">
        <v>1.43</v>
      </c>
      <c r="P27" s="9" t="n">
        <f aca="false">(O27-O26)/O26</f>
        <v>0.0437956204379559</v>
      </c>
      <c r="Q27" s="10" t="n">
        <v>0.93</v>
      </c>
      <c r="R27" s="9" t="n">
        <f aca="false">(Q27-Q26)/Q26</f>
        <v>0.0333333333333334</v>
      </c>
      <c r="S27" s="10" t="n">
        <v>3.42</v>
      </c>
      <c r="T27" s="9" t="n">
        <f aca="false">(S27-S26)/S26</f>
        <v>0.0332326283987915</v>
      </c>
      <c r="U27" s="13" t="n">
        <v>2.56</v>
      </c>
      <c r="V27" s="9" t="n">
        <f aca="false">(U27-U26)/U26</f>
        <v>0.0364372469635627</v>
      </c>
      <c r="W27" s="0" t="n">
        <v>1.143</v>
      </c>
      <c r="X27" s="23" t="n">
        <f aca="false">(W27-W26)/W26</f>
        <v>-0.0131238128129856</v>
      </c>
      <c r="Y27" s="0" t="n">
        <v>1.5425</v>
      </c>
      <c r="Z27" s="24" t="n">
        <f aca="false">(Y27-Y26)/Y26</f>
        <v>-0.000194451646357107</v>
      </c>
    </row>
    <row r="28" customFormat="false" ht="13.8" hidden="false" customHeight="false" outlineLevel="0" collapsed="false">
      <c r="A28" s="8" t="n">
        <v>37802</v>
      </c>
      <c r="B28" s="0" t="n">
        <v>86.77</v>
      </c>
      <c r="C28" s="9" t="n">
        <f aca="false">(B28-B27)/B27</f>
        <v>0.00813291506912981</v>
      </c>
      <c r="D28" s="0" t="n">
        <v>19.39</v>
      </c>
      <c r="E28" s="9" t="n">
        <f aca="false">(D28-D27)/D27</f>
        <v>0.0120041753653445</v>
      </c>
      <c r="F28" s="0" t="n">
        <v>98.74</v>
      </c>
      <c r="G28" s="9" t="n">
        <f aca="false">(F28-F27)/F27</f>
        <v>0.0110587753430268</v>
      </c>
      <c r="H28" s="0" t="n">
        <f aca="false">AVERAGE(F14:F27)</f>
        <v>93.5935714285714</v>
      </c>
      <c r="I28" s="0" t="n">
        <f aca="false">AVERAGE(F21:F27)</f>
        <v>97.3571428571429</v>
      </c>
      <c r="J28" s="0" t="n">
        <f aca="false">AVERAGE(F25:F27)</f>
        <v>98.8866666666667</v>
      </c>
      <c r="K28" s="10" t="n">
        <v>30.01</v>
      </c>
      <c r="L28" s="9" t="n">
        <f aca="false">(K28-K27)/K27</f>
        <v>-0.019281045751634</v>
      </c>
      <c r="M28" s="10" t="n">
        <v>27.19</v>
      </c>
      <c r="N28" s="9" t="n">
        <f aca="false">(M28-M27)/M27</f>
        <v>0.0115327380952382</v>
      </c>
      <c r="O28" s="0" t="n">
        <v>1.44</v>
      </c>
      <c r="P28" s="9" t="n">
        <f aca="false">(O28-O27)/O27</f>
        <v>0.00699300699300731</v>
      </c>
      <c r="Q28" s="10" t="n">
        <v>1.05</v>
      </c>
      <c r="R28" s="9" t="n">
        <f aca="false">(Q28-Q27)/Q27</f>
        <v>0.129032258064516</v>
      </c>
      <c r="S28" s="10" t="n">
        <v>3.58</v>
      </c>
      <c r="T28" s="9" t="n">
        <f aca="false">(S28-S27)/S27</f>
        <v>0.0467836257309942</v>
      </c>
      <c r="U28" s="13" t="n">
        <v>2.71</v>
      </c>
      <c r="V28" s="9" t="n">
        <f aca="false">(U28-U27)/U27</f>
        <v>0.05859375</v>
      </c>
      <c r="W28" s="0" t="n">
        <v>1.1493</v>
      </c>
      <c r="X28" s="23" t="n">
        <f aca="false">(W28-W27)/W27</f>
        <v>0.00551181102362202</v>
      </c>
      <c r="Y28" s="0" t="n">
        <v>1.5485</v>
      </c>
      <c r="Z28" s="24" t="n">
        <f aca="false">(Y28-Y27)/Y27</f>
        <v>0.00388978930307942</v>
      </c>
    </row>
    <row r="29" customFormat="false" ht="13.8" hidden="false" customHeight="false" outlineLevel="0" collapsed="false">
      <c r="A29" s="8" t="n">
        <v>37809</v>
      </c>
      <c r="B29" s="0" t="n">
        <v>89.37</v>
      </c>
      <c r="C29" s="9" t="n">
        <f aca="false">(B29-B28)/B28</f>
        <v>0.029964273366371</v>
      </c>
      <c r="D29" s="0" t="n">
        <v>18.47</v>
      </c>
      <c r="E29" s="9" t="n">
        <f aca="false">(D29-D28)/D28</f>
        <v>-0.0474471376998454</v>
      </c>
      <c r="F29" s="0" t="n">
        <v>100.24</v>
      </c>
      <c r="G29" s="9" t="n">
        <f aca="false">(F29-F28)/F28</f>
        <v>0.0151914117885355</v>
      </c>
      <c r="H29" s="0" t="n">
        <f aca="false">AVERAGE(F15:F28)</f>
        <v>94.4528571428572</v>
      </c>
      <c r="I29" s="0" t="n">
        <f aca="false">AVERAGE(F22:F28)</f>
        <v>97.91</v>
      </c>
      <c r="J29" s="0" t="n">
        <f aca="false">AVERAGE(F26:F28)</f>
        <v>98.6133333333333</v>
      </c>
      <c r="K29" s="10" t="n">
        <v>30.31</v>
      </c>
      <c r="L29" s="9" t="n">
        <f aca="false">(K29-K28)/K28</f>
        <v>0.00999666777740744</v>
      </c>
      <c r="M29" s="10" t="n">
        <v>28.4</v>
      </c>
      <c r="N29" s="9" t="n">
        <f aca="false">(M29-M28)/M28</f>
        <v>0.0445016550202279</v>
      </c>
      <c r="O29" s="0" t="n">
        <v>1.43</v>
      </c>
      <c r="P29" s="9" t="n">
        <f aca="false">(O29-O28)/O28</f>
        <v>-0.00694444444444445</v>
      </c>
      <c r="Q29" s="10" t="n">
        <v>1.17</v>
      </c>
      <c r="R29" s="9" t="n">
        <f aca="false">(Q29-Q28)/Q28</f>
        <v>0.114285714285714</v>
      </c>
      <c r="S29" s="10" t="n">
        <v>3.72</v>
      </c>
      <c r="T29" s="9" t="n">
        <f aca="false">(S29-S28)/S28</f>
        <v>0.0391061452513966</v>
      </c>
      <c r="U29" s="13" t="n">
        <v>2.84</v>
      </c>
      <c r="V29" s="9" t="n">
        <f aca="false">(U29-U28)/U28</f>
        <v>0.0479704797047972</v>
      </c>
      <c r="W29" s="0" t="n">
        <v>1.1306</v>
      </c>
      <c r="X29" s="23" t="n">
        <f aca="false">(W29-W28)/W28</f>
        <v>-0.016270773514313</v>
      </c>
      <c r="Y29" s="0" t="n">
        <v>1.5536</v>
      </c>
      <c r="Z29" s="24" t="n">
        <f aca="false">(Y29-Y28)/Y28</f>
        <v>0.0032935098482403</v>
      </c>
    </row>
    <row r="30" customFormat="false" ht="13.8" hidden="false" customHeight="false" outlineLevel="0" collapsed="false">
      <c r="A30" s="8" t="n">
        <v>37816</v>
      </c>
      <c r="B30" s="0" t="n">
        <v>89.67</v>
      </c>
      <c r="C30" s="9" t="n">
        <f aca="false">(B30-B29)/B29</f>
        <v>0.00335683115139305</v>
      </c>
      <c r="D30" s="0" t="n">
        <v>19.11</v>
      </c>
      <c r="E30" s="9" t="n">
        <f aca="false">(D30-D29)/D29</f>
        <v>0.034650785056849</v>
      </c>
      <c r="F30" s="0" t="n">
        <v>99.51</v>
      </c>
      <c r="G30" s="9" t="n">
        <f aca="false">(F30-F29)/F29</f>
        <v>-0.00728252194732631</v>
      </c>
      <c r="H30" s="0" t="n">
        <f aca="false">AVERAGE(F16:F29)</f>
        <v>95.3114285714286</v>
      </c>
      <c r="I30" s="0" t="n">
        <f aca="false">AVERAGE(F23:F29)</f>
        <v>98.8357142857143</v>
      </c>
      <c r="J30" s="0" t="n">
        <f aca="false">AVERAGE(F27:F29)</f>
        <v>98.88</v>
      </c>
      <c r="K30" s="10" t="n">
        <v>30.73</v>
      </c>
      <c r="L30" s="9" t="n">
        <f aca="false">(K30-K29)/K29</f>
        <v>0.0138568129330255</v>
      </c>
      <c r="M30" s="10" t="n">
        <v>28.42</v>
      </c>
      <c r="N30" s="9" t="n">
        <f aca="false">(M30-M29)/M29</f>
        <v>0.000704225352112786</v>
      </c>
      <c r="O30" s="0" t="n">
        <v>1.56</v>
      </c>
      <c r="P30" s="9" t="n">
        <f aca="false">(O30-O29)/O29</f>
        <v>0.0909090909090907</v>
      </c>
      <c r="Q30" s="10" t="n">
        <v>1.26</v>
      </c>
      <c r="R30" s="9" t="n">
        <f aca="false">(Q30-Q29)/Q29</f>
        <v>0.076923076923077</v>
      </c>
      <c r="S30" s="10" t="n">
        <v>3.93</v>
      </c>
      <c r="T30" s="9" t="n">
        <f aca="false">(S30-S29)/S29</f>
        <v>0.0564516129032259</v>
      </c>
      <c r="U30" s="13" t="n">
        <v>3.04</v>
      </c>
      <c r="V30" s="9" t="n">
        <f aca="false">(U30-U29)/U29</f>
        <v>0.0704225352112675</v>
      </c>
      <c r="W30" s="0" t="n">
        <v>1.129</v>
      </c>
      <c r="X30" s="23" t="n">
        <f aca="false">(W30-W29)/W29</f>
        <v>-0.00141517778170887</v>
      </c>
      <c r="Y30" s="0" t="n">
        <v>1.5348</v>
      </c>
      <c r="Z30" s="24" t="n">
        <f aca="false">(Y30-Y29)/Y29</f>
        <v>-0.0121009268795058</v>
      </c>
    </row>
    <row r="31" customFormat="false" ht="13.8" hidden="false" customHeight="false" outlineLevel="0" collapsed="false">
      <c r="A31" s="8" t="n">
        <v>37823</v>
      </c>
      <c r="B31" s="0" t="n">
        <v>90.5</v>
      </c>
      <c r="C31" s="9" t="n">
        <f aca="false">(B31-B30)/B30</f>
        <v>0.00925616148098582</v>
      </c>
      <c r="D31" s="0" t="n">
        <v>17.75</v>
      </c>
      <c r="E31" s="9" t="n">
        <f aca="false">(D31-D30)/D30</f>
        <v>-0.0711669283097854</v>
      </c>
      <c r="F31" s="0" t="n">
        <v>100.23</v>
      </c>
      <c r="G31" s="9" t="n">
        <f aca="false">(F31-F30)/F30</f>
        <v>0.00723545372324388</v>
      </c>
      <c r="H31" s="0" t="n">
        <f aca="false">AVERAGE(F17:F30)</f>
        <v>96.1942857142857</v>
      </c>
      <c r="I31" s="0" t="n">
        <f aca="false">AVERAGE(F24:F30)</f>
        <v>99.2014285714286</v>
      </c>
      <c r="J31" s="0" t="n">
        <f aca="false">AVERAGE(F28:F30)</f>
        <v>99.4966666666667</v>
      </c>
      <c r="K31" s="10" t="n">
        <v>31.48</v>
      </c>
      <c r="L31" s="9" t="n">
        <f aca="false">(K31-K30)/K30</f>
        <v>0.0244061178001952</v>
      </c>
      <c r="M31" s="10" t="n">
        <v>28.74</v>
      </c>
      <c r="N31" s="9" t="n">
        <f aca="false">(M31-M30)/M30</f>
        <v>0.0112596762843067</v>
      </c>
      <c r="O31" s="0" t="n">
        <v>1.67</v>
      </c>
      <c r="P31" s="9" t="n">
        <f aca="false">(O31-O30)/O30</f>
        <v>0.0705128205128207</v>
      </c>
      <c r="Q31" s="10" t="n">
        <v>1.41</v>
      </c>
      <c r="R31" s="9" t="n">
        <f aca="false">(Q31-Q30)/Q30</f>
        <v>0.119047619047619</v>
      </c>
      <c r="S31" s="10" t="n">
        <v>4.18</v>
      </c>
      <c r="T31" s="9" t="n">
        <f aca="false">(S31-S30)/S30</f>
        <v>0.0636132315521627</v>
      </c>
      <c r="U31" s="13" t="n">
        <v>3.27</v>
      </c>
      <c r="V31" s="9" t="n">
        <f aca="false">(U31-U30)/U30</f>
        <v>0.0756578947368419</v>
      </c>
      <c r="W31" s="0" t="n">
        <v>1.1507</v>
      </c>
      <c r="X31" s="23" t="n">
        <f aca="false">(W31-W30)/W30</f>
        <v>0.0192205491585474</v>
      </c>
      <c r="Y31" s="0" t="n">
        <v>1.5477</v>
      </c>
      <c r="Z31" s="24" t="n">
        <f aca="false">(Y31-Y30)/Y30</f>
        <v>0.00840500390930423</v>
      </c>
    </row>
    <row r="32" customFormat="false" ht="13.8" hidden="false" customHeight="false" outlineLevel="0" collapsed="false">
      <c r="A32" s="8" t="n">
        <v>37830</v>
      </c>
      <c r="B32" s="0" t="n">
        <v>86.9</v>
      </c>
      <c r="C32" s="9" t="n">
        <f aca="false">(B32-B31)/B31</f>
        <v>-0.0397790055248618</v>
      </c>
      <c r="D32" s="0" t="n">
        <v>20.75</v>
      </c>
      <c r="E32" s="9" t="n">
        <f aca="false">(D32-D31)/D31</f>
        <v>0.169014084507042</v>
      </c>
      <c r="F32" s="0" t="n">
        <v>98.51</v>
      </c>
      <c r="G32" s="9" t="n">
        <f aca="false">(F32-F31)/F31</f>
        <v>-0.0171605307792078</v>
      </c>
      <c r="H32" s="0" t="n">
        <f aca="false">AVERAGE(F18:F31)</f>
        <v>96.9564285714286</v>
      </c>
      <c r="I32" s="0" t="n">
        <f aca="false">AVERAGE(F25:F31)</f>
        <v>99.34</v>
      </c>
      <c r="J32" s="0" t="n">
        <f aca="false">AVERAGE(F29:F31)</f>
        <v>99.9933333333333</v>
      </c>
      <c r="K32" s="10" t="n">
        <v>30.61</v>
      </c>
      <c r="L32" s="9" t="n">
        <f aca="false">(K32-K31)/K31</f>
        <v>-0.0276365946632783</v>
      </c>
      <c r="M32" s="10" t="n">
        <v>28.02</v>
      </c>
      <c r="N32" s="9" t="n">
        <f aca="false">(M32-M31)/M31</f>
        <v>-0.0250521920668058</v>
      </c>
      <c r="O32" s="0" t="n">
        <v>1.73</v>
      </c>
      <c r="P32" s="9" t="n">
        <f aca="false">(O32-O31)/O31</f>
        <v>0.0359281437125747</v>
      </c>
      <c r="Q32" s="10" t="n">
        <v>1.58</v>
      </c>
      <c r="R32" s="9" t="n">
        <f aca="false">(Q32-Q31)/Q31</f>
        <v>0.120567375886525</v>
      </c>
      <c r="S32" s="10" t="n">
        <v>4.4</v>
      </c>
      <c r="T32" s="9" t="n">
        <f aca="false">(S32-S31)/S31</f>
        <v>0.0526315789473686</v>
      </c>
      <c r="U32" s="13" t="n">
        <v>3.45</v>
      </c>
      <c r="V32" s="9" t="n">
        <f aca="false">(U32-U31)/U31</f>
        <v>0.0550458715596332</v>
      </c>
      <c r="W32" s="0" t="n">
        <v>1.1262</v>
      </c>
      <c r="X32" s="23" t="n">
        <f aca="false">(W32-W31)/W31</f>
        <v>-0.0212913878508733</v>
      </c>
      <c r="Y32" s="0" t="n">
        <v>1.5377</v>
      </c>
      <c r="Z32" s="24" t="n">
        <f aca="false">(Y32-Y31)/Y31</f>
        <v>-0.00646120049105124</v>
      </c>
    </row>
    <row r="33" customFormat="false" ht="13.8" hidden="false" customHeight="false" outlineLevel="0" collapsed="false">
      <c r="A33" s="8" t="n">
        <v>37837</v>
      </c>
      <c r="B33" s="0" t="n">
        <v>87.61</v>
      </c>
      <c r="C33" s="9" t="n">
        <f aca="false">(B33-B32)/B32</f>
        <v>0.0081703107019562</v>
      </c>
      <c r="D33" s="0" t="n">
        <v>19.59</v>
      </c>
      <c r="E33" s="9" t="n">
        <f aca="false">(D33-D32)/D32</f>
        <v>-0.0559036144578313</v>
      </c>
      <c r="F33" s="0" t="n">
        <v>98.28</v>
      </c>
      <c r="G33" s="9" t="n">
        <f aca="false">(F33-F32)/F32</f>
        <v>-0.00233478834636082</v>
      </c>
      <c r="H33" s="0" t="n">
        <f aca="false">AVERAGE(F19:F32)</f>
        <v>97.5478571428572</v>
      </c>
      <c r="I33" s="0" t="n">
        <f aca="false">AVERAGE(F26:F32)</f>
        <v>99.19</v>
      </c>
      <c r="J33" s="0" t="n">
        <f aca="false">AVERAGE(F30:F32)</f>
        <v>99.4166666666667</v>
      </c>
      <c r="K33" s="10" t="n">
        <v>30.73</v>
      </c>
      <c r="L33" s="9" t="n">
        <f aca="false">(K33-K32)/K32</f>
        <v>0.00392028748774913</v>
      </c>
      <c r="M33" s="10" t="n">
        <v>28.52</v>
      </c>
      <c r="N33" s="9" t="n">
        <f aca="false">(M33-M32)/M32</f>
        <v>0.0178443968593862</v>
      </c>
      <c r="O33" s="0" t="n">
        <v>1.74</v>
      </c>
      <c r="P33" s="9" t="n">
        <f aca="false">(O33-O32)/O32</f>
        <v>0.00578034682080938</v>
      </c>
      <c r="Q33" s="10" t="n">
        <v>1.5</v>
      </c>
      <c r="R33" s="9" t="n">
        <f aca="false">(Q33-Q32)/Q32</f>
        <v>-0.0506329113924051</v>
      </c>
      <c r="S33" s="10" t="n">
        <v>4.34</v>
      </c>
      <c r="T33" s="9" t="n">
        <f aca="false">(S33-S32)/S32</f>
        <v>-0.0136363636363637</v>
      </c>
      <c r="U33" s="13" t="n">
        <v>3.4</v>
      </c>
      <c r="V33" s="9" t="n">
        <f aca="false">(U33-U32)/U32</f>
        <v>-0.0144927536231885</v>
      </c>
      <c r="W33" s="0" t="n">
        <v>1.13</v>
      </c>
      <c r="X33" s="23" t="n">
        <f aca="false">(W33-W32)/W32</f>
        <v>0.00337417865388013</v>
      </c>
      <c r="Y33" s="0" t="n">
        <v>1.5378</v>
      </c>
      <c r="Z33" s="24" t="n">
        <f aca="false">(Y33-Y32)/Y32</f>
        <v>6.50321909345054E-005</v>
      </c>
    </row>
    <row r="34" customFormat="false" ht="13.8" hidden="false" customHeight="false" outlineLevel="0" collapsed="false">
      <c r="A34" s="8" t="n">
        <v>37844</v>
      </c>
      <c r="B34" s="0" t="n">
        <v>88.42</v>
      </c>
      <c r="C34" s="9" t="n">
        <f aca="false">(B34-B33)/B33</f>
        <v>0.00924551991781763</v>
      </c>
      <c r="D34" s="0" t="n">
        <v>18.27</v>
      </c>
      <c r="E34" s="9" t="n">
        <f aca="false">(D34-D33)/D33</f>
        <v>-0.0673813169984686</v>
      </c>
      <c r="F34" s="0" t="n">
        <v>99.62</v>
      </c>
      <c r="G34" s="9" t="n">
        <f aca="false">(F34-F33)/F33</f>
        <v>0.0136345136345137</v>
      </c>
      <c r="H34" s="0" t="n">
        <f aca="false">AVERAGE(F20:F33)</f>
        <v>97.91</v>
      </c>
      <c r="I34" s="0" t="n">
        <f aca="false">AVERAGE(F27:F33)</f>
        <v>99.0242857142857</v>
      </c>
      <c r="J34" s="0" t="n">
        <f aca="false">AVERAGE(F31:F33)</f>
        <v>99.0066666666667</v>
      </c>
      <c r="K34" s="10" t="n">
        <v>32.11</v>
      </c>
      <c r="L34" s="9" t="n">
        <f aca="false">(K34-K33)/K33</f>
        <v>0.0449072567523592</v>
      </c>
      <c r="M34" s="10" t="n">
        <v>30.19</v>
      </c>
      <c r="N34" s="9" t="n">
        <f aca="false">(M34-M33)/M33</f>
        <v>0.0585553997194952</v>
      </c>
      <c r="O34" s="0" t="n">
        <v>1.86</v>
      </c>
      <c r="P34" s="9" t="n">
        <f aca="false">(O34-O33)/O33</f>
        <v>0.0689655172413791</v>
      </c>
      <c r="Q34" s="10" t="n">
        <v>1.49</v>
      </c>
      <c r="R34" s="9" t="n">
        <f aca="false">(Q34-Q33)/Q33</f>
        <v>-0.00666666666666667</v>
      </c>
      <c r="S34" s="10" t="n">
        <v>4.49</v>
      </c>
      <c r="T34" s="9" t="n">
        <f aca="false">(S34-S33)/S33</f>
        <v>0.0345622119815669</v>
      </c>
      <c r="U34" s="13" t="n">
        <v>3.55</v>
      </c>
      <c r="V34" s="9" t="n">
        <f aca="false">(U34-U33)/U33</f>
        <v>0.0441176470588236</v>
      </c>
      <c r="W34" s="0" t="n">
        <v>1.126</v>
      </c>
      <c r="X34" s="23" t="n">
        <f aca="false">(W34-W33)/W33</f>
        <v>-0.00353982300884956</v>
      </c>
      <c r="Y34" s="0" t="n">
        <v>1.5429</v>
      </c>
      <c r="Z34" s="24" t="n">
        <f aca="false">(Y34-Y33)/Y33</f>
        <v>0.0033164260632071</v>
      </c>
    </row>
    <row r="35" customFormat="false" ht="13.8" hidden="false" customHeight="false" outlineLevel="0" collapsed="false">
      <c r="A35" s="8" t="n">
        <v>37851</v>
      </c>
      <c r="B35" s="0" t="n">
        <v>86.54</v>
      </c>
      <c r="C35" s="9" t="n">
        <f aca="false">(B35-B34)/B34</f>
        <v>-0.0212621578828319</v>
      </c>
      <c r="D35" s="0" t="n">
        <v>18.55</v>
      </c>
      <c r="E35" s="9" t="n">
        <f aca="false">(D35-D34)/D34</f>
        <v>0.0153256704980844</v>
      </c>
      <c r="F35" s="0" t="n">
        <v>99.77</v>
      </c>
      <c r="G35" s="9" t="n">
        <f aca="false">(F35-F34)/F34</f>
        <v>0.00150572174262188</v>
      </c>
      <c r="H35" s="0" t="n">
        <f aca="false">AVERAGE(F21:F34)</f>
        <v>98.3307142857143</v>
      </c>
      <c r="I35" s="0" t="n">
        <f aca="false">AVERAGE(F28:F34)</f>
        <v>99.3042857142857</v>
      </c>
      <c r="J35" s="0" t="n">
        <f aca="false">AVERAGE(F32:F34)</f>
        <v>98.8033333333333</v>
      </c>
      <c r="K35" s="10" t="n">
        <v>31.31</v>
      </c>
      <c r="L35" s="9" t="n">
        <f aca="false">(K35-K34)/K34</f>
        <v>-0.0249143568981626</v>
      </c>
      <c r="M35" s="10" t="n">
        <v>29.6</v>
      </c>
      <c r="N35" s="9" t="n">
        <f aca="false">(M35-M34)/M34</f>
        <v>-0.0195428949983438</v>
      </c>
      <c r="O35" s="0" t="n">
        <v>1.96</v>
      </c>
      <c r="P35" s="9" t="n">
        <f aca="false">(O35-O34)/O34</f>
        <v>0.0537634408602152</v>
      </c>
      <c r="Q35" s="10" t="n">
        <v>1.43</v>
      </c>
      <c r="R35" s="9" t="n">
        <f aca="false">(Q35-Q34)/Q34</f>
        <v>-0.040268456375839</v>
      </c>
      <c r="S35" s="10" t="n">
        <v>4.47</v>
      </c>
      <c r="T35" s="9" t="n">
        <f aca="false">(S35-S34)/S34</f>
        <v>-0.0044543429844099</v>
      </c>
      <c r="U35" s="13" t="n">
        <v>3.52</v>
      </c>
      <c r="V35" s="9" t="n">
        <f aca="false">(U35-U34)/U34</f>
        <v>-0.00845070422535231</v>
      </c>
      <c r="W35" s="0" t="n">
        <v>1.0886</v>
      </c>
      <c r="X35" s="23" t="n">
        <f aca="false">(W35-W34)/W34</f>
        <v>-0.0332149200710478</v>
      </c>
      <c r="Y35" s="0" t="n">
        <v>1.5424</v>
      </c>
      <c r="Z35" s="24" t="n">
        <f aca="false">(Y35-Y34)/Y34</f>
        <v>-0.000324065072266475</v>
      </c>
    </row>
    <row r="36" customFormat="false" ht="13.8" hidden="false" customHeight="false" outlineLevel="0" collapsed="false">
      <c r="A36" s="8" t="n">
        <v>37858</v>
      </c>
      <c r="B36" s="0" t="n">
        <v>87.28</v>
      </c>
      <c r="C36" s="9" t="n">
        <f aca="false">(B36-B35)/B35</f>
        <v>0.00855095909406049</v>
      </c>
      <c r="D36" s="0" t="n">
        <v>18.63</v>
      </c>
      <c r="E36" s="9" t="n">
        <f aca="false">(D36-D35)/D35</f>
        <v>0.00431266846361177</v>
      </c>
      <c r="F36" s="0" t="n">
        <v>101.44</v>
      </c>
      <c r="G36" s="9" t="n">
        <f aca="false">(F36-F35)/F35</f>
        <v>0.0167384985466573</v>
      </c>
      <c r="H36" s="0" t="n">
        <f aca="false">AVERAGE(F22:F35)</f>
        <v>98.6807142857143</v>
      </c>
      <c r="I36" s="0" t="n">
        <f aca="false">AVERAGE(F29:F35)</f>
        <v>99.4514285714286</v>
      </c>
      <c r="J36" s="0" t="n">
        <f aca="false">AVERAGE(F33:F35)</f>
        <v>99.2233333333333</v>
      </c>
      <c r="K36" s="10" t="n">
        <v>31.19</v>
      </c>
      <c r="L36" s="9" t="n">
        <f aca="false">(K36-K35)/K35</f>
        <v>-0.00383264132864891</v>
      </c>
      <c r="M36" s="10" t="n">
        <v>29.7</v>
      </c>
      <c r="N36" s="9" t="n">
        <f aca="false">(M36-M35)/M35</f>
        <v>0.00337837837837831</v>
      </c>
      <c r="O36" s="0" t="n">
        <v>2.01</v>
      </c>
      <c r="P36" s="9" t="n">
        <f aca="false">(O36-O35)/O35</f>
        <v>0.0255102040816327</v>
      </c>
      <c r="Q36" s="10" t="n">
        <v>1.48</v>
      </c>
      <c r="R36" s="9" t="n">
        <f aca="false">(Q36-Q35)/Q35</f>
        <v>0.034965034965035</v>
      </c>
      <c r="S36" s="10" t="n">
        <v>4.49</v>
      </c>
      <c r="T36" s="9" t="n">
        <f aca="false">(S36-S35)/S35</f>
        <v>0.00447427293064887</v>
      </c>
      <c r="U36" s="13" t="n">
        <v>3.51</v>
      </c>
      <c r="V36" s="9" t="n">
        <f aca="false">(U36-U35)/U35</f>
        <v>-0.0028409090909089</v>
      </c>
      <c r="W36" s="0" t="n">
        <v>1.0989</v>
      </c>
      <c r="X36" s="23" t="n">
        <f aca="false">(W36-W35)/W35</f>
        <v>0.00946169391879476</v>
      </c>
      <c r="Y36" s="0" t="n">
        <v>1.5376</v>
      </c>
      <c r="Z36" s="24" t="n">
        <f aca="false">(Y36-Y35)/Y35</f>
        <v>-0.00311203319502069</v>
      </c>
    </row>
    <row r="37" customFormat="false" ht="13.8" hidden="false" customHeight="false" outlineLevel="0" collapsed="false">
      <c r="A37" s="8" t="n">
        <v>37866</v>
      </c>
      <c r="B37" s="0" t="n">
        <v>87.6</v>
      </c>
      <c r="C37" s="9" t="n">
        <f aca="false">(B37-B36)/B36</f>
        <v>0.00366636113657187</v>
      </c>
      <c r="D37" s="0" t="n">
        <v>18.17</v>
      </c>
      <c r="E37" s="9" t="n">
        <f aca="false">(D37-D36)/D36</f>
        <v>-0.0246913580246912</v>
      </c>
      <c r="F37" s="0" t="n">
        <v>102.83</v>
      </c>
      <c r="G37" s="9" t="n">
        <f aca="false">(F37-F36)/F36</f>
        <v>0.0137026813880126</v>
      </c>
      <c r="H37" s="0" t="n">
        <f aca="false">AVERAGE(F23:F36)</f>
        <v>99.2292857142857</v>
      </c>
      <c r="I37" s="0" t="n">
        <f aca="false">AVERAGE(F30:F36)</f>
        <v>99.6228571428571</v>
      </c>
      <c r="J37" s="0" t="n">
        <f aca="false">AVERAGE(F34:F36)</f>
        <v>100.276666666667</v>
      </c>
      <c r="K37" s="10" t="n">
        <v>31.56</v>
      </c>
      <c r="L37" s="9" t="n">
        <f aca="false">(K37-K36)/K36</f>
        <v>0.0118627765309393</v>
      </c>
      <c r="M37" s="10" t="n">
        <v>30.12</v>
      </c>
      <c r="N37" s="9" t="n">
        <f aca="false">(M37-M36)/M36</f>
        <v>0.0141414141414142</v>
      </c>
      <c r="O37" s="0" t="n">
        <v>2.01</v>
      </c>
      <c r="P37" s="9" t="n">
        <f aca="false">(O37-O36)/O36</f>
        <v>0</v>
      </c>
      <c r="Q37" s="10" t="n">
        <v>1.5</v>
      </c>
      <c r="R37" s="9" t="n">
        <f aca="false">(Q37-Q36)/Q36</f>
        <v>0.0135135135135135</v>
      </c>
      <c r="S37" s="10" t="n">
        <v>4.52</v>
      </c>
      <c r="T37" s="9" t="n">
        <f aca="false">(S37-S36)/S36</f>
        <v>0.00668151447661456</v>
      </c>
      <c r="U37" s="13" t="n">
        <v>3.57</v>
      </c>
      <c r="V37" s="9" t="n">
        <f aca="false">(U37-U36)/U36</f>
        <v>0.0170940170940169</v>
      </c>
      <c r="W37" s="0" t="n">
        <v>1.11</v>
      </c>
      <c r="X37" s="23" t="n">
        <f aca="false">(W37-W36)/W36</f>
        <v>0.0101010101010102</v>
      </c>
      <c r="Y37" s="0" t="n">
        <v>1.5357</v>
      </c>
      <c r="Z37" s="24" t="n">
        <f aca="false">(Y37-Y36)/Y36</f>
        <v>-0.00123569198751302</v>
      </c>
    </row>
    <row r="38" customFormat="false" ht="13.8" hidden="false" customHeight="false" outlineLevel="0" collapsed="false">
      <c r="A38" s="8" t="n">
        <v>37872</v>
      </c>
      <c r="B38" s="0" t="n">
        <v>86.82</v>
      </c>
      <c r="C38" s="9" t="n">
        <f aca="false">(B38-B37)/B37</f>
        <v>-0.00890410958904111</v>
      </c>
      <c r="D38" s="0" t="n">
        <v>18.68</v>
      </c>
      <c r="E38" s="9" t="n">
        <f aca="false">(D38-D37)/D37</f>
        <v>0.0280682443588331</v>
      </c>
      <c r="F38" s="0" t="n">
        <v>102.45</v>
      </c>
      <c r="G38" s="9" t="n">
        <f aca="false">(F38-F37)/F37</f>
        <v>-0.00369541962462312</v>
      </c>
      <c r="H38" s="0" t="n">
        <f aca="false">AVERAGE(F24:F37)</f>
        <v>99.6492857142857</v>
      </c>
      <c r="I38" s="0" t="n">
        <f aca="false">AVERAGE(F31:F37)</f>
        <v>100.097142857143</v>
      </c>
      <c r="J38" s="0" t="n">
        <f aca="false">AVERAGE(F35:F37)</f>
        <v>101.346666666667</v>
      </c>
      <c r="K38" s="10" t="n">
        <v>29.2</v>
      </c>
      <c r="L38" s="9" t="n">
        <f aca="false">(K38-K37)/K37</f>
        <v>-0.0747782002534854</v>
      </c>
      <c r="M38" s="10" t="n">
        <v>28.16</v>
      </c>
      <c r="N38" s="9" t="n">
        <f aca="false">(M38-M37)/M37</f>
        <v>-0.0650730411686587</v>
      </c>
      <c r="O38" s="0" t="n">
        <v>1.91</v>
      </c>
      <c r="P38" s="9" t="n">
        <f aca="false">(O38-O37)/O37</f>
        <v>-0.0497512437810944</v>
      </c>
      <c r="Q38" s="10" t="n">
        <v>1.32</v>
      </c>
      <c r="R38" s="9" t="n">
        <f aca="false">(Q38-Q37)/Q37</f>
        <v>-0.12</v>
      </c>
      <c r="S38" s="10" t="n">
        <v>4.34</v>
      </c>
      <c r="T38" s="9" t="n">
        <f aca="false">(S38-S37)/S37</f>
        <v>-0.0398230088495575</v>
      </c>
      <c r="U38" s="13" t="n">
        <v>3.4</v>
      </c>
      <c r="V38" s="9" t="n">
        <f aca="false">(U38-U37)/U37</f>
        <v>-0.0476190476190475</v>
      </c>
      <c r="W38" s="0" t="n">
        <v>1.1288</v>
      </c>
      <c r="X38" s="23" t="n">
        <f aca="false">(W38-W37)/W37</f>
        <v>0.0169369369369369</v>
      </c>
      <c r="Y38" s="0" t="n">
        <v>1.5563</v>
      </c>
      <c r="Z38" s="24" t="n">
        <f aca="false">(Y38-Y37)/Y37</f>
        <v>0.0134140782704955</v>
      </c>
    </row>
    <row r="39" customFormat="false" ht="13.8" hidden="false" customHeight="false" outlineLevel="0" collapsed="false">
      <c r="A39" s="8" t="n">
        <v>37879</v>
      </c>
      <c r="B39" s="0" t="n">
        <v>90.26</v>
      </c>
      <c r="C39" s="9" t="n">
        <f aca="false">(B39-B38)/B38</f>
        <v>0.0396222068647778</v>
      </c>
      <c r="D39" s="0" t="n">
        <v>17.54</v>
      </c>
      <c r="E39" s="9" t="n">
        <f aca="false">(D39-D38)/D38</f>
        <v>-0.0610278372591007</v>
      </c>
      <c r="F39" s="0" t="n">
        <v>103.67</v>
      </c>
      <c r="G39" s="9" t="n">
        <f aca="false">(F39-F38)/F38</f>
        <v>0.0119082479258175</v>
      </c>
      <c r="H39" s="0" t="n">
        <f aca="false">AVERAGE(F25:F38)</f>
        <v>99.8771428571428</v>
      </c>
      <c r="I39" s="0" t="n">
        <f aca="false">AVERAGE(F32:F38)</f>
        <v>100.414285714286</v>
      </c>
      <c r="J39" s="0" t="n">
        <f aca="false">AVERAGE(F36:F38)</f>
        <v>102.24</v>
      </c>
      <c r="K39" s="10" t="n">
        <v>28.92</v>
      </c>
      <c r="L39" s="9" t="n">
        <f aca="false">(K39-K38)/K38</f>
        <v>-0.00958904109589033</v>
      </c>
      <c r="M39" s="10" t="n">
        <v>27.57</v>
      </c>
      <c r="N39" s="9" t="n">
        <f aca="false">(M39-M38)/M38</f>
        <v>-0.0209517045454545</v>
      </c>
      <c r="O39" s="0" t="n">
        <v>1.81</v>
      </c>
      <c r="P39" s="9" t="n">
        <f aca="false">(O39-O38)/O38</f>
        <v>-0.0523560209424084</v>
      </c>
      <c r="Q39" s="10" t="n">
        <v>1.29</v>
      </c>
      <c r="R39" s="9" t="n">
        <f aca="false">(Q39-Q38)/Q38</f>
        <v>-0.0227272727272727</v>
      </c>
      <c r="S39" s="10" t="n">
        <v>4.23</v>
      </c>
      <c r="T39" s="9" t="n">
        <f aca="false">(S39-S38)/S38</f>
        <v>-0.0253456221198155</v>
      </c>
      <c r="U39" s="13" t="n">
        <v>3.3</v>
      </c>
      <c r="V39" s="9" t="n">
        <f aca="false">(U39-U38)/U38</f>
        <v>-0.0294117647058822</v>
      </c>
      <c r="W39" s="0" t="n">
        <v>1.1358</v>
      </c>
      <c r="X39" s="23" t="n">
        <f aca="false">(W39-W38)/W38</f>
        <v>0.0062012756909992</v>
      </c>
      <c r="Y39" s="0" t="n">
        <v>1.5547</v>
      </c>
      <c r="Z39" s="24" t="n">
        <f aca="false">(Y39-Y38)/Y38</f>
        <v>-0.00102807941913516</v>
      </c>
    </row>
    <row r="40" customFormat="false" ht="13.8" hidden="false" customHeight="false" outlineLevel="0" collapsed="false">
      <c r="A40" s="8" t="n">
        <v>37886</v>
      </c>
      <c r="B40" s="0" t="n">
        <v>87.72</v>
      </c>
      <c r="C40" s="9" t="n">
        <f aca="false">(B40-B39)/B39</f>
        <v>-0.028140926213162</v>
      </c>
      <c r="D40" s="0" t="n">
        <v>22.23</v>
      </c>
      <c r="E40" s="9" t="n">
        <f aca="false">(D40-D39)/D39</f>
        <v>0.267388825541619</v>
      </c>
      <c r="F40" s="0" t="n">
        <v>99.95</v>
      </c>
      <c r="G40" s="9" t="n">
        <f aca="false">(F40-F39)/F39</f>
        <v>-0.0358830905758657</v>
      </c>
      <c r="H40" s="0" t="n">
        <f aca="false">AVERAGE(F26:F39)</f>
        <v>100.170714285714</v>
      </c>
      <c r="I40" s="0" t="n">
        <f aca="false">AVERAGE(F33:F39)</f>
        <v>101.151428571429</v>
      </c>
      <c r="J40" s="0" t="n">
        <f aca="false">AVERAGE(F37:F39)</f>
        <v>102.983333333333</v>
      </c>
      <c r="K40" s="10" t="n">
        <v>27.39</v>
      </c>
      <c r="L40" s="9" t="n">
        <f aca="false">(K40-K39)/K39</f>
        <v>-0.0529045643153527</v>
      </c>
      <c r="M40" s="10" t="n">
        <v>25.9</v>
      </c>
      <c r="N40" s="9" t="n">
        <f aca="false">(M40-M39)/M39</f>
        <v>-0.0605730866884295</v>
      </c>
      <c r="O40" s="0" t="n">
        <v>1.87</v>
      </c>
      <c r="P40" s="9" t="n">
        <f aca="false">(O40-O39)/O39</f>
        <v>0.0331491712707181</v>
      </c>
      <c r="Q40" s="10" t="n">
        <v>1.2</v>
      </c>
      <c r="R40" s="9" t="n">
        <f aca="false">(Q40-Q39)/Q39</f>
        <v>-0.0697674418604652</v>
      </c>
      <c r="S40" s="10" t="n">
        <v>4.16</v>
      </c>
      <c r="T40" s="9" t="n">
        <f aca="false">(S40-S39)/S39</f>
        <v>-0.0165484633569741</v>
      </c>
      <c r="U40" s="13" t="n">
        <v>3.23</v>
      </c>
      <c r="V40" s="9" t="n">
        <f aca="false">(U40-U39)/U39</f>
        <v>-0.0212121212121213</v>
      </c>
      <c r="W40" s="0" t="n">
        <v>1.1473</v>
      </c>
      <c r="X40" s="23" t="n">
        <f aca="false">(W40-W39)/W39</f>
        <v>0.0101250220109175</v>
      </c>
      <c r="Y40" s="0" t="n">
        <v>1.5414</v>
      </c>
      <c r="Z40" s="24" t="n">
        <f aca="false">(Y40-Y39)/Y39</f>
        <v>-0.0085547050877982</v>
      </c>
    </row>
    <row r="41" customFormat="false" ht="13.8" hidden="false" customHeight="false" outlineLevel="0" collapsed="false">
      <c r="A41" s="8" t="n">
        <v>37893</v>
      </c>
      <c r="B41" s="0" t="n">
        <v>90.46</v>
      </c>
      <c r="C41" s="9" t="n">
        <f aca="false">(B41-B40)/B40</f>
        <v>0.031235750113999</v>
      </c>
      <c r="D41" s="0" t="n">
        <v>19.5</v>
      </c>
      <c r="E41" s="9" t="n">
        <f aca="false">(D41-D40)/D40</f>
        <v>-0.12280701754386</v>
      </c>
      <c r="F41" s="0" t="n">
        <v>103.39</v>
      </c>
      <c r="G41" s="9" t="n">
        <f aca="false">(F41-F40)/F40</f>
        <v>0.0344172086043021</v>
      </c>
      <c r="H41" s="0" t="n">
        <f aca="false">AVERAGE(F27:F40)</f>
        <v>100.207142857143</v>
      </c>
      <c r="I41" s="0" t="n">
        <f aca="false">AVERAGE(F34:F40)</f>
        <v>101.39</v>
      </c>
      <c r="J41" s="0" t="n">
        <f aca="false">AVERAGE(F38:F40)</f>
        <v>102.023333333333</v>
      </c>
      <c r="K41" s="10" t="n">
        <v>27.73</v>
      </c>
      <c r="L41" s="9" t="n">
        <f aca="false">(K41-K40)/K40</f>
        <v>0.0124132895217233</v>
      </c>
      <c r="M41" s="10" t="n">
        <v>26.49</v>
      </c>
      <c r="N41" s="9" t="n">
        <f aca="false">(M41-M40)/M40</f>
        <v>0.0227799227799228</v>
      </c>
      <c r="O41" s="0" t="n">
        <v>1.87</v>
      </c>
      <c r="P41" s="9" t="n">
        <f aca="false">(O41-O40)/O40</f>
        <v>0</v>
      </c>
      <c r="Q41" s="10" t="n">
        <v>1.07</v>
      </c>
      <c r="R41" s="9" t="n">
        <f aca="false">(Q41-Q40)/Q40</f>
        <v>-0.108333333333333</v>
      </c>
      <c r="S41" s="10" t="n">
        <v>4.05</v>
      </c>
      <c r="T41" s="9" t="n">
        <f aca="false">(S41-S40)/S40</f>
        <v>-0.0264423076923078</v>
      </c>
      <c r="U41" s="13" t="n">
        <v>3.12</v>
      </c>
      <c r="V41" s="9" t="n">
        <f aca="false">(U41-U40)/U40</f>
        <v>-0.0340557275541797</v>
      </c>
      <c r="W41" s="0" t="n">
        <v>1.1562</v>
      </c>
      <c r="X41" s="23" t="n">
        <f aca="false">(W41-W40)/W40</f>
        <v>0.00775734332781305</v>
      </c>
      <c r="Y41" s="0" t="n">
        <v>1.5464</v>
      </c>
      <c r="Z41" s="24" t="n">
        <f aca="false">(Y41-Y40)/Y40</f>
        <v>0.00324380433372252</v>
      </c>
    </row>
    <row r="42" customFormat="false" ht="13.8" hidden="false" customHeight="false" outlineLevel="0" collapsed="false">
      <c r="A42" s="8" t="n">
        <v>37900</v>
      </c>
      <c r="B42" s="0" t="n">
        <v>92.15</v>
      </c>
      <c r="C42" s="9" t="n">
        <f aca="false">(B42-B41)/B41</f>
        <v>0.0186822905151449</v>
      </c>
      <c r="D42" s="0" t="n">
        <v>18.45</v>
      </c>
      <c r="E42" s="9" t="n">
        <f aca="false">(D42-D41)/D41</f>
        <v>-0.0538461538461539</v>
      </c>
      <c r="F42" s="0" t="n">
        <v>104.57</v>
      </c>
      <c r="G42" s="9" t="n">
        <f aca="false">(F42-F41)/F41</f>
        <v>0.0114130960441048</v>
      </c>
      <c r="H42" s="0" t="n">
        <f aca="false">AVERAGE(F28:F41)</f>
        <v>100.616428571429</v>
      </c>
      <c r="I42" s="0" t="n">
        <f aca="false">AVERAGE(F35:F41)</f>
        <v>101.928571428571</v>
      </c>
      <c r="J42" s="0" t="n">
        <f aca="false">AVERAGE(F39:F41)</f>
        <v>102.336666666667</v>
      </c>
      <c r="K42" s="10" t="n">
        <v>29.43</v>
      </c>
      <c r="L42" s="9" t="n">
        <f aca="false">(K42-K41)/K41</f>
        <v>0.0613054453660295</v>
      </c>
      <c r="M42" s="10" t="n">
        <v>28.38</v>
      </c>
      <c r="N42" s="9" t="n">
        <f aca="false">(M42-M41)/M41</f>
        <v>0.071347678369196</v>
      </c>
      <c r="O42" s="0" t="n">
        <v>1.91</v>
      </c>
      <c r="P42" s="9" t="n">
        <f aca="false">(O42-O41)/O41</f>
        <v>0.0213903743315509</v>
      </c>
      <c r="Q42" s="10" t="n">
        <v>1.22</v>
      </c>
      <c r="R42" s="9" t="n">
        <f aca="false">(Q42-Q41)/Q41</f>
        <v>0.14018691588785</v>
      </c>
      <c r="S42" s="10" t="n">
        <v>4.26</v>
      </c>
      <c r="T42" s="9" t="n">
        <f aca="false">(S42-S41)/S41</f>
        <v>0.0518518518518518</v>
      </c>
      <c r="U42" s="13" t="n">
        <v>3.36</v>
      </c>
      <c r="V42" s="9" t="n">
        <f aca="false">(U42-U41)/U41</f>
        <v>0.076923076923077</v>
      </c>
      <c r="W42" s="0" t="n">
        <v>1.1805</v>
      </c>
      <c r="X42" s="23" t="n">
        <f aca="false">(W42-W41)/W41</f>
        <v>0.0210171250648679</v>
      </c>
      <c r="Y42" s="0" t="n">
        <v>1.5485</v>
      </c>
      <c r="Z42" s="24" t="n">
        <f aca="false">(Y42-Y41)/Y41</f>
        <v>0.00135799275737195</v>
      </c>
    </row>
    <row r="43" customFormat="false" ht="13.8" hidden="false" customHeight="false" outlineLevel="0" collapsed="false">
      <c r="A43" s="8" t="n">
        <v>37907</v>
      </c>
      <c r="B43" s="0" t="n">
        <v>93.24</v>
      </c>
      <c r="C43" s="9" t="n">
        <f aca="false">(B43-B42)/B42</f>
        <v>0.0118285404232229</v>
      </c>
      <c r="D43" s="0" t="n">
        <v>17.62</v>
      </c>
      <c r="E43" s="9" t="n">
        <f aca="false">(D43-D42)/D42</f>
        <v>-0.0449864498644986</v>
      </c>
      <c r="F43" s="0" t="n">
        <v>104.26</v>
      </c>
      <c r="G43" s="9" t="n">
        <f aca="false">(F43-F42)/F42</f>
        <v>-0.00296452137324269</v>
      </c>
      <c r="H43" s="0" t="n">
        <f aca="false">AVERAGE(F29:F42)</f>
        <v>101.032857142857</v>
      </c>
      <c r="I43" s="0" t="n">
        <f aca="false">AVERAGE(F36:F42)</f>
        <v>102.614285714286</v>
      </c>
      <c r="J43" s="0" t="n">
        <f aca="false">AVERAGE(F40:F42)</f>
        <v>102.636666666667</v>
      </c>
      <c r="K43" s="10" t="n">
        <v>30.69</v>
      </c>
      <c r="L43" s="9" t="n">
        <f aca="false">(K43-K42)/K42</f>
        <v>0.0428134556574924</v>
      </c>
      <c r="M43" s="10" t="n">
        <v>29.88</v>
      </c>
      <c r="N43" s="9" t="n">
        <f aca="false">(M43-M42)/M42</f>
        <v>0.0528541226215645</v>
      </c>
      <c r="O43" s="0" t="n">
        <v>2.05</v>
      </c>
      <c r="P43" s="9" t="n">
        <f aca="false">(O43-O42)/O42</f>
        <v>0.0732984293193716</v>
      </c>
      <c r="Q43" s="10" t="n">
        <v>1.27</v>
      </c>
      <c r="R43" s="9" t="n">
        <f aca="false">(Q43-Q42)/Q42</f>
        <v>0.0409836065573771</v>
      </c>
      <c r="S43" s="10" t="n">
        <v>4.42</v>
      </c>
      <c r="T43" s="9" t="n">
        <f aca="false">(S43-S42)/S42</f>
        <v>0.0375586854460094</v>
      </c>
      <c r="U43" s="13" t="n">
        <v>3.51</v>
      </c>
      <c r="V43" s="9" t="n">
        <f aca="false">(U43-U42)/U42</f>
        <v>0.0446428571428571</v>
      </c>
      <c r="W43" s="0" t="n">
        <v>1.1674</v>
      </c>
      <c r="X43" s="23" t="n">
        <f aca="false">(W43-W42)/W42</f>
        <v>-0.0110969927996613</v>
      </c>
      <c r="Y43" s="0" t="n">
        <v>1.5509</v>
      </c>
      <c r="Z43" s="24" t="n">
        <f aca="false">(Y43-Y42)/Y42</f>
        <v>0.00154988698740714</v>
      </c>
    </row>
    <row r="44" customFormat="false" ht="13.8" hidden="false" customHeight="false" outlineLevel="0" collapsed="false">
      <c r="A44" s="8" t="n">
        <v>37914</v>
      </c>
      <c r="B44" s="0" t="n">
        <v>92.74</v>
      </c>
      <c r="C44" s="9" t="n">
        <f aca="false">(B44-B43)/B43</f>
        <v>-0.00536250536250536</v>
      </c>
      <c r="D44" s="0" t="n">
        <v>17.71</v>
      </c>
      <c r="E44" s="9" t="n">
        <f aca="false">(D44-D43)/D43</f>
        <v>0.00510783200908058</v>
      </c>
      <c r="F44" s="0" t="n">
        <v>103.58</v>
      </c>
      <c r="G44" s="9" t="n">
        <f aca="false">(F44-F43)/F43</f>
        <v>-0.00652215614809138</v>
      </c>
      <c r="H44" s="0" t="n">
        <f aca="false">AVERAGE(F30:F43)</f>
        <v>101.32</v>
      </c>
      <c r="I44" s="0" t="n">
        <f aca="false">AVERAGE(F37:F43)</f>
        <v>103.017142857143</v>
      </c>
      <c r="J44" s="0" t="n">
        <f aca="false">AVERAGE(F41:F43)</f>
        <v>104.073333333333</v>
      </c>
      <c r="K44" s="10" t="n">
        <v>31.49</v>
      </c>
      <c r="L44" s="9" t="n">
        <f aca="false">(K44-K43)/K43</f>
        <v>0.0260671228413163</v>
      </c>
      <c r="M44" s="10" t="n">
        <v>31</v>
      </c>
      <c r="N44" s="9" t="n">
        <f aca="false">(M44-M43)/M43</f>
        <v>0.0374832663989291</v>
      </c>
      <c r="O44" s="0" t="n">
        <v>2.01</v>
      </c>
      <c r="P44" s="9" t="n">
        <f aca="false">(O44-O43)/O43</f>
        <v>-0.019512195121951</v>
      </c>
      <c r="Q44" s="10" t="n">
        <v>1.23</v>
      </c>
      <c r="R44" s="9" t="n">
        <f aca="false">(Q44-Q43)/Q43</f>
        <v>-0.031496062992126</v>
      </c>
      <c r="S44" s="10" t="n">
        <v>4.33</v>
      </c>
      <c r="T44" s="9" t="n">
        <f aca="false">(S44-S43)/S43</f>
        <v>-0.0203619909502262</v>
      </c>
      <c r="U44" s="13" t="n">
        <v>3.4</v>
      </c>
      <c r="V44" s="9" t="n">
        <f aca="false">(U44-U43)/U43</f>
        <v>-0.0313390313390313</v>
      </c>
      <c r="W44" s="0" t="n">
        <v>1.1816</v>
      </c>
      <c r="X44" s="23" t="n">
        <f aca="false">(W44-W43)/W43</f>
        <v>0.0121637827651191</v>
      </c>
      <c r="Y44" s="0" t="n">
        <v>1.547</v>
      </c>
      <c r="Z44" s="24" t="n">
        <f aca="false">(Y44-Y43)/Y43</f>
        <v>-0.00251466890192792</v>
      </c>
    </row>
    <row r="45" customFormat="false" ht="13.8" hidden="false" customHeight="false" outlineLevel="0" collapsed="false">
      <c r="A45" s="8" t="n">
        <v>37921</v>
      </c>
      <c r="B45" s="0" t="n">
        <v>94.19</v>
      </c>
      <c r="C45" s="9" t="n">
        <f aca="false">(B45-B44)/B44</f>
        <v>0.0156351089066207</v>
      </c>
      <c r="D45" s="0" t="n">
        <v>16.1</v>
      </c>
      <c r="E45" s="9" t="n">
        <f aca="false">(D45-D44)/D44</f>
        <v>-0.0909090909090909</v>
      </c>
      <c r="F45" s="0" t="n">
        <v>105.3</v>
      </c>
      <c r="G45" s="9" t="n">
        <f aca="false">(F45-F44)/F44</f>
        <v>0.0166055223016026</v>
      </c>
      <c r="H45" s="0" t="n">
        <f aca="false">AVERAGE(F31:F44)</f>
        <v>101.610714285714</v>
      </c>
      <c r="I45" s="0" t="n">
        <f aca="false">AVERAGE(F38:F44)</f>
        <v>103.124285714286</v>
      </c>
      <c r="J45" s="0" t="n">
        <f aca="false">AVERAGE(F42:F44)</f>
        <v>104.136666666667</v>
      </c>
      <c r="K45" s="10" t="n">
        <v>30.17</v>
      </c>
      <c r="L45" s="9" t="n">
        <f aca="false">(K45-K44)/K44</f>
        <v>-0.0419180692283264</v>
      </c>
      <c r="M45" s="10" t="n">
        <v>29.66</v>
      </c>
      <c r="N45" s="9" t="n">
        <f aca="false">(M45-M44)/M44</f>
        <v>-0.0432258064516129</v>
      </c>
      <c r="O45" s="0" t="n">
        <v>2.04</v>
      </c>
      <c r="P45" s="9" t="n">
        <f aca="false">(O45-O44)/O44</f>
        <v>0.0149253731343283</v>
      </c>
      <c r="Q45" s="10" t="n">
        <v>1.18</v>
      </c>
      <c r="R45" s="9" t="n">
        <f aca="false">(Q45-Q44)/Q44</f>
        <v>-0.0406504065040651</v>
      </c>
      <c r="S45" s="10" t="n">
        <v>4.31</v>
      </c>
      <c r="T45" s="9" t="n">
        <f aca="false">(S45-S44)/S44</f>
        <v>-0.00461893764434191</v>
      </c>
      <c r="U45" s="13" t="n">
        <v>3.37</v>
      </c>
      <c r="V45" s="9" t="n">
        <f aca="false">(U45-U44)/U44</f>
        <v>-0.00882352941176478</v>
      </c>
      <c r="W45" s="0" t="n">
        <v>1.1572</v>
      </c>
      <c r="X45" s="23" t="n">
        <f aca="false">(W45-W44)/W44</f>
        <v>-0.0206499661475965</v>
      </c>
      <c r="Y45" s="0" t="n">
        <v>1.5527</v>
      </c>
      <c r="Z45" s="24" t="n">
        <f aca="false">(Y45-Y44)/Y44</f>
        <v>0.00368455074337444</v>
      </c>
    </row>
    <row r="46" customFormat="false" ht="13.8" hidden="false" customHeight="false" outlineLevel="0" collapsed="false">
      <c r="A46" s="8" t="n">
        <v>37928</v>
      </c>
      <c r="B46" s="0" t="n">
        <v>94.72</v>
      </c>
      <c r="C46" s="9" t="n">
        <f aca="false">(B46-B45)/B45</f>
        <v>0.00562692430194289</v>
      </c>
      <c r="D46" s="0" t="n">
        <v>16.93</v>
      </c>
      <c r="E46" s="9" t="n">
        <f aca="false">(D46-D45)/D45</f>
        <v>0.0515527950310558</v>
      </c>
      <c r="F46" s="0" t="n">
        <v>105.61</v>
      </c>
      <c r="G46" s="9" t="n">
        <f aca="false">(F46-F45)/F45</f>
        <v>0.0029439696106363</v>
      </c>
      <c r="H46" s="0" t="n">
        <f aca="false">AVERAGE(F32:F45)</f>
        <v>101.972857142857</v>
      </c>
      <c r="I46" s="0" t="n">
        <f aca="false">AVERAGE(F39:F45)</f>
        <v>103.531428571429</v>
      </c>
      <c r="J46" s="0" t="n">
        <f aca="false">AVERAGE(F43:F45)</f>
        <v>104.38</v>
      </c>
      <c r="K46" s="10" t="n">
        <v>29.28</v>
      </c>
      <c r="L46" s="9" t="n">
        <f aca="false">(K46-K45)/K45</f>
        <v>-0.0294995028173683</v>
      </c>
      <c r="M46" s="10" t="n">
        <v>28.46</v>
      </c>
      <c r="N46" s="9" t="n">
        <f aca="false">(M46-M45)/M45</f>
        <v>-0.0404585300067431</v>
      </c>
      <c r="O46" s="0" t="n">
        <v>2.04</v>
      </c>
      <c r="P46" s="9" t="n">
        <f aca="false">(O46-O45)/O45</f>
        <v>0</v>
      </c>
      <c r="Q46" s="10" t="n">
        <v>1.33</v>
      </c>
      <c r="R46" s="9" t="n">
        <f aca="false">(Q46-Q45)/Q45</f>
        <v>0.127118644067797</v>
      </c>
      <c r="S46" s="10" t="n">
        <v>4.41</v>
      </c>
      <c r="T46" s="9" t="n">
        <f aca="false">(S46-S45)/S45</f>
        <v>0.023201856148492</v>
      </c>
      <c r="U46" s="13" t="n">
        <v>3.47</v>
      </c>
      <c r="V46" s="9" t="n">
        <f aca="false">(U46-U45)/U45</f>
        <v>0.0296735905044512</v>
      </c>
      <c r="W46" s="0" t="n">
        <v>1.1538</v>
      </c>
      <c r="X46" s="23" t="n">
        <f aca="false">(W46-W45)/W45</f>
        <v>-0.00293812651227106</v>
      </c>
      <c r="Y46" s="0" t="n">
        <v>1.5703</v>
      </c>
      <c r="Z46" s="24" t="n">
        <f aca="false">(Y46-Y45)/Y45</f>
        <v>0.0113350937077348</v>
      </c>
    </row>
    <row r="47" customFormat="false" ht="13.8" hidden="false" customHeight="false" outlineLevel="0" collapsed="false">
      <c r="A47" s="8" t="n">
        <v>37935</v>
      </c>
      <c r="B47" s="0" t="n">
        <v>93.6</v>
      </c>
      <c r="C47" s="9" t="n">
        <f aca="false">(B47-B46)/B46</f>
        <v>-0.0118243243243244</v>
      </c>
      <c r="D47" s="0" t="n">
        <v>16.94</v>
      </c>
      <c r="E47" s="9" t="n">
        <f aca="false">(D47-D46)/D46</f>
        <v>0.000590667454223365</v>
      </c>
      <c r="F47" s="0" t="n">
        <v>105.46</v>
      </c>
      <c r="G47" s="9" t="n">
        <f aca="false">(F47-F46)/F46</f>
        <v>-0.0014203200454503</v>
      </c>
      <c r="H47" s="0" t="n">
        <f aca="false">AVERAGE(F33:F46)</f>
        <v>102.48</v>
      </c>
      <c r="I47" s="0" t="n">
        <f aca="false">AVERAGE(F40:F46)</f>
        <v>103.808571428571</v>
      </c>
      <c r="J47" s="0" t="n">
        <f aca="false">AVERAGE(F44:F46)</f>
        <v>104.83</v>
      </c>
      <c r="K47" s="10" t="n">
        <v>29.79</v>
      </c>
      <c r="L47" s="9" t="n">
        <f aca="false">(K47-K46)/K46</f>
        <v>0.0174180327868852</v>
      </c>
      <c r="M47" s="10" t="n">
        <v>28.05</v>
      </c>
      <c r="N47" s="9" t="n">
        <f aca="false">(M47-M46)/M46</f>
        <v>-0.0144061841180604</v>
      </c>
      <c r="O47" s="0" t="n">
        <v>2.07</v>
      </c>
      <c r="P47" s="9" t="n">
        <f aca="false">(O47-O46)/O46</f>
        <v>0.0147058823529411</v>
      </c>
      <c r="Q47" s="10" t="n">
        <v>1.29</v>
      </c>
      <c r="R47" s="9" t="n">
        <f aca="false">(Q47-Q46)/Q46</f>
        <v>-0.0300751879699248</v>
      </c>
      <c r="S47" s="10" t="n">
        <v>4.36</v>
      </c>
      <c r="T47" s="9" t="n">
        <f aca="false">(S47-S46)/S46</f>
        <v>-0.0113378684807256</v>
      </c>
      <c r="U47" s="13" t="n">
        <v>3.43</v>
      </c>
      <c r="V47" s="9" t="n">
        <f aca="false">(U47-U46)/U46</f>
        <v>-0.0115273775216138</v>
      </c>
      <c r="W47" s="0" t="n">
        <v>1.177</v>
      </c>
      <c r="X47" s="23" t="n">
        <f aca="false">(W47-W46)/W46</f>
        <v>0.0201074709655054</v>
      </c>
      <c r="Y47" s="0" t="n">
        <v>1.5635</v>
      </c>
      <c r="Z47" s="24" t="n">
        <f aca="false">(Y47-Y46)/Y46</f>
        <v>-0.00433038272941485</v>
      </c>
    </row>
    <row r="48" customFormat="false" ht="13.8" hidden="false" customHeight="false" outlineLevel="0" collapsed="false">
      <c r="A48" s="8" t="n">
        <v>37942</v>
      </c>
      <c r="B48" s="0" t="n">
        <v>93.05</v>
      </c>
      <c r="C48" s="9" t="n">
        <f aca="false">(B48-B47)/B47</f>
        <v>-0.00587606837606835</v>
      </c>
      <c r="D48" s="0" t="n">
        <v>18.98</v>
      </c>
      <c r="E48" s="9" t="n">
        <f aca="false">(D48-D47)/D47</f>
        <v>0.120425029515939</v>
      </c>
      <c r="F48" s="0" t="n">
        <v>104.21</v>
      </c>
      <c r="G48" s="9" t="n">
        <f aca="false">(F48-F47)/F47</f>
        <v>-0.0118528351981794</v>
      </c>
      <c r="H48" s="0" t="n">
        <f aca="false">AVERAGE(F34:F47)</f>
        <v>102.992857142857</v>
      </c>
      <c r="I48" s="0" t="n">
        <f aca="false">AVERAGE(F41:F47)</f>
        <v>104.595714285714</v>
      </c>
      <c r="J48" s="0" t="n">
        <f aca="false">AVERAGE(F45:F47)</f>
        <v>105.456666666667</v>
      </c>
      <c r="K48" s="10" t="n">
        <v>31.56</v>
      </c>
      <c r="L48" s="9" t="n">
        <f aca="false">(K48-K47)/K47</f>
        <v>0.0594159113796576</v>
      </c>
      <c r="M48" s="10" t="n">
        <v>29.01</v>
      </c>
      <c r="N48" s="9" t="n">
        <f aca="false">(M48-M47)/M47</f>
        <v>0.0342245989304813</v>
      </c>
      <c r="O48" s="0" t="n">
        <v>1.97</v>
      </c>
      <c r="P48" s="9" t="n">
        <f aca="false">(O48-O47)/O47</f>
        <v>-0.0483091787439612</v>
      </c>
      <c r="Q48" s="10" t="n">
        <v>1.19</v>
      </c>
      <c r="R48" s="9" t="n">
        <f aca="false">(Q48-Q47)/Q47</f>
        <v>-0.0775193798449613</v>
      </c>
      <c r="S48" s="10" t="n">
        <v>4.18</v>
      </c>
      <c r="T48" s="9" t="n">
        <f aca="false">(S48-S47)/S47</f>
        <v>-0.0412844036697249</v>
      </c>
      <c r="U48" s="13" t="n">
        <v>3.25</v>
      </c>
      <c r="V48" s="9" t="n">
        <f aca="false">(U48-U47)/U47</f>
        <v>-0.0524781341107873</v>
      </c>
      <c r="W48" s="0" t="n">
        <v>1.1915</v>
      </c>
      <c r="X48" s="23" t="n">
        <f aca="false">(W48-W47)/W47</f>
        <v>0.0123194562446899</v>
      </c>
      <c r="Y48" s="0" t="n">
        <v>1.5466</v>
      </c>
      <c r="Z48" s="24" t="n">
        <f aca="false">(Y48-Y47)/Y47</f>
        <v>-0.0108090821874</v>
      </c>
    </row>
    <row r="49" customFormat="false" ht="13.8" hidden="false" customHeight="false" outlineLevel="0" collapsed="false">
      <c r="A49" s="8" t="n">
        <v>37949</v>
      </c>
      <c r="B49" s="0" t="n">
        <v>94.44</v>
      </c>
      <c r="C49" s="9" t="n">
        <f aca="false">(B49-B48)/B48</f>
        <v>0.014938205265986</v>
      </c>
      <c r="D49" s="0" t="n">
        <v>16.32</v>
      </c>
      <c r="E49" s="9" t="n">
        <f aca="false">(D49-D48)/D48</f>
        <v>-0.140147523709168</v>
      </c>
      <c r="F49" s="0" t="n">
        <v>106.45</v>
      </c>
      <c r="G49" s="9" t="n">
        <f aca="false">(F49-F48)/F48</f>
        <v>0.0214950580558489</v>
      </c>
      <c r="H49" s="0" t="n">
        <f aca="false">AVERAGE(F35:F48)</f>
        <v>103.320714285714</v>
      </c>
      <c r="I49" s="0" t="n">
        <f aca="false">AVERAGE(F42:F48)</f>
        <v>104.712857142857</v>
      </c>
      <c r="J49" s="0" t="n">
        <f aca="false">AVERAGE(F46:F48)</f>
        <v>105.093333333333</v>
      </c>
      <c r="K49" s="10" t="n">
        <v>32.58</v>
      </c>
      <c r="L49" s="9" t="n">
        <f aca="false">(K49-K48)/K48</f>
        <v>0.032319391634981</v>
      </c>
      <c r="M49" s="10" t="n">
        <v>29.61</v>
      </c>
      <c r="N49" s="9" t="n">
        <f aca="false">(M49-M48)/M48</f>
        <v>0.0206825232678386</v>
      </c>
      <c r="O49" s="0" t="n">
        <v>2</v>
      </c>
      <c r="P49" s="9" t="n">
        <f aca="false">(O49-O48)/O48</f>
        <v>0.015228426395939</v>
      </c>
      <c r="Q49" s="10" t="n">
        <v>1.27</v>
      </c>
      <c r="R49" s="9" t="n">
        <f aca="false">(Q49-Q48)/Q48</f>
        <v>0.0672268907563026</v>
      </c>
      <c r="S49" s="10" t="n">
        <v>4.25</v>
      </c>
      <c r="T49" s="9" t="n">
        <f aca="false">(S49-S48)/S48</f>
        <v>0.0167464114832537</v>
      </c>
      <c r="U49" s="13" t="n">
        <v>3.32</v>
      </c>
      <c r="V49" s="9" t="n">
        <f aca="false">(U49-U48)/U48</f>
        <v>0.0215384615384616</v>
      </c>
      <c r="W49" s="0" t="n">
        <v>1.1988</v>
      </c>
      <c r="X49" s="23" t="n">
        <f aca="false">(W49-W48)/W48</f>
        <v>0.00612673101133033</v>
      </c>
      <c r="Y49" s="0" t="n">
        <v>1.5493</v>
      </c>
      <c r="Z49" s="24" t="n">
        <f aca="false">(Y49-Y48)/Y48</f>
        <v>0.00174576490365959</v>
      </c>
    </row>
    <row r="50" customFormat="false" ht="13.8" hidden="false" customHeight="false" outlineLevel="0" collapsed="false">
      <c r="A50" s="8" t="n">
        <v>37956</v>
      </c>
      <c r="B50" s="0" t="n">
        <v>93.91</v>
      </c>
      <c r="C50" s="9" t="n">
        <f aca="false">(B50-B49)/B49</f>
        <v>-0.00561202880135537</v>
      </c>
      <c r="D50" s="0" t="n">
        <v>17.09</v>
      </c>
      <c r="E50" s="9" t="n">
        <f aca="false">(D50-D49)/D49</f>
        <v>0.0471813725490196</v>
      </c>
      <c r="F50" s="0" t="n">
        <v>106.85</v>
      </c>
      <c r="G50" s="9" t="n">
        <f aca="false">(F50-F49)/F49</f>
        <v>0.00375763269140434</v>
      </c>
      <c r="H50" s="0" t="n">
        <f aca="false">AVERAGE(F36:F49)</f>
        <v>103.797857142857</v>
      </c>
      <c r="I50" s="0" t="n">
        <f aca="false">AVERAGE(F43:F49)</f>
        <v>104.981428571429</v>
      </c>
      <c r="J50" s="0" t="n">
        <f aca="false">AVERAGE(F47:F49)</f>
        <v>105.373333333333</v>
      </c>
      <c r="K50" s="10" t="n">
        <v>30.11</v>
      </c>
      <c r="L50" s="9" t="n">
        <f aca="false">(K50-K49)/K49</f>
        <v>-0.0758133824432167</v>
      </c>
      <c r="M50" s="10" t="n">
        <v>28.34</v>
      </c>
      <c r="N50" s="9" t="n">
        <f aca="false">(M50-M49)/M49</f>
        <v>-0.0428909152313408</v>
      </c>
      <c r="O50" s="0" t="n">
        <v>2.05</v>
      </c>
      <c r="P50" s="9" t="n">
        <f aca="false">(O50-O49)/O49</f>
        <v>0.0249999999999999</v>
      </c>
      <c r="Q50" s="10" t="n">
        <v>1.35</v>
      </c>
      <c r="R50" s="9" t="n">
        <f aca="false">(Q50-Q49)/Q49</f>
        <v>0.062992125984252</v>
      </c>
      <c r="S50" s="10" t="n">
        <v>4.36</v>
      </c>
      <c r="T50" s="9" t="n">
        <f aca="false">(S50-S49)/S49</f>
        <v>0.0258823529411765</v>
      </c>
      <c r="U50" s="13" t="n">
        <v>3.44</v>
      </c>
      <c r="V50" s="9" t="n">
        <f aca="false">(U50-U49)/U49</f>
        <v>0.0361445783132532</v>
      </c>
      <c r="W50" s="0" t="n">
        <v>1.2163</v>
      </c>
      <c r="X50" s="23" t="n">
        <f aca="false">(W50-W49)/W49</f>
        <v>0.0145979312645978</v>
      </c>
      <c r="Y50" s="0" t="n">
        <v>1.5592</v>
      </c>
      <c r="Z50" s="24" t="n">
        <f aca="false">(Y50-Y49)/Y49</f>
        <v>0.00638998257277482</v>
      </c>
    </row>
    <row r="51" customFormat="false" ht="13.8" hidden="false" customHeight="false" outlineLevel="0" collapsed="false">
      <c r="A51" s="8" t="n">
        <v>37963</v>
      </c>
      <c r="B51" s="0" t="n">
        <v>94.49</v>
      </c>
      <c r="C51" s="9" t="n">
        <f aca="false">(B51-B50)/B50</f>
        <v>0.00617612607815992</v>
      </c>
      <c r="D51" s="0" t="n">
        <v>16.41</v>
      </c>
      <c r="E51" s="9" t="n">
        <f aca="false">(D51-D50)/D50</f>
        <v>-0.0397893504973669</v>
      </c>
      <c r="F51" s="0" t="n">
        <v>108.14</v>
      </c>
      <c r="G51" s="9" t="n">
        <f aca="false">(F51-F50)/F50</f>
        <v>0.0120729995320543</v>
      </c>
      <c r="H51" s="0" t="n">
        <f aca="false">AVERAGE(F37:F50)</f>
        <v>104.184285714286</v>
      </c>
      <c r="I51" s="0" t="n">
        <f aca="false">AVERAGE(F44:F50)</f>
        <v>105.351428571429</v>
      </c>
      <c r="J51" s="0" t="n">
        <f aca="false">AVERAGE(F48:F50)</f>
        <v>105.836666666667</v>
      </c>
      <c r="K51" s="10" t="n">
        <v>30.63</v>
      </c>
      <c r="L51" s="9" t="n">
        <f aca="false">(K51-K50)/K50</f>
        <v>0.0172700099634673</v>
      </c>
      <c r="M51" s="10" t="n">
        <v>28.93</v>
      </c>
      <c r="N51" s="9" t="n">
        <f aca="false">(M51-M50)/M50</f>
        <v>0.020818630910374</v>
      </c>
      <c r="O51" s="0" t="n">
        <v>2.09</v>
      </c>
      <c r="P51" s="9" t="n">
        <f aca="false">(O51-O50)/O50</f>
        <v>0.0195121951219512</v>
      </c>
      <c r="Q51" s="10" t="n">
        <v>1.18</v>
      </c>
      <c r="R51" s="9" t="n">
        <f aca="false">(Q51-Q50)/Q50</f>
        <v>-0.125925925925926</v>
      </c>
      <c r="S51" s="10" t="n">
        <v>4.29</v>
      </c>
      <c r="T51" s="9" t="n">
        <f aca="false">(S51-S50)/S50</f>
        <v>-0.0160550458715597</v>
      </c>
      <c r="U51" s="13" t="n">
        <v>3.39</v>
      </c>
      <c r="V51" s="9" t="n">
        <f aca="false">(U51-U50)/U50</f>
        <v>-0.0145348837209303</v>
      </c>
      <c r="W51" s="0" t="n">
        <v>1.2293</v>
      </c>
      <c r="X51" s="23" t="n">
        <f aca="false">(W51-W50)/W50</f>
        <v>0.0106881525939325</v>
      </c>
      <c r="Y51" s="0" t="n">
        <v>1.551</v>
      </c>
      <c r="Z51" s="24" t="n">
        <f aca="false">(Y51-Y50)/Y50</f>
        <v>-0.00525910723447921</v>
      </c>
    </row>
    <row r="52" customFormat="false" ht="13.8" hidden="false" customHeight="false" outlineLevel="0" collapsed="false">
      <c r="A52" s="8" t="n">
        <v>37970</v>
      </c>
      <c r="B52" s="0" t="n">
        <v>95.93</v>
      </c>
      <c r="C52" s="9" t="n">
        <f aca="false">(B52-B51)/B51</f>
        <v>0.0152397079055986</v>
      </c>
      <c r="D52" s="0" t="n">
        <v>16.42</v>
      </c>
      <c r="E52" s="9" t="n">
        <f aca="false">(D52-D51)/D51</f>
        <v>0.000609384521633246</v>
      </c>
      <c r="F52" s="0" t="n">
        <v>108.9</v>
      </c>
      <c r="G52" s="9" t="n">
        <f aca="false">(F52-F51)/F51</f>
        <v>0.00702792676160537</v>
      </c>
      <c r="H52" s="0" t="n">
        <f aca="false">AVERAGE(F38:F51)</f>
        <v>104.563571428571</v>
      </c>
      <c r="I52" s="0" t="n">
        <f aca="false">AVERAGE(F45:F51)</f>
        <v>106.002857142857</v>
      </c>
      <c r="J52" s="0" t="n">
        <f aca="false">AVERAGE(F49:F51)</f>
        <v>107.146666666667</v>
      </c>
      <c r="K52" s="10" t="n">
        <v>32.16</v>
      </c>
      <c r="L52" s="9" t="n">
        <f aca="false">(K52-K51)/K51</f>
        <v>0.0499510284035259</v>
      </c>
      <c r="M52" s="10" t="n">
        <v>30.17</v>
      </c>
      <c r="N52" s="9" t="n">
        <f aca="false">(M52-M51)/M51</f>
        <v>0.0428620808848946</v>
      </c>
      <c r="O52" s="0" t="n">
        <v>2.01</v>
      </c>
      <c r="P52" s="9" t="n">
        <f aca="false">(O52-O51)/O51</f>
        <v>-0.0382775119617223</v>
      </c>
      <c r="Q52" s="10" t="n">
        <v>1.19</v>
      </c>
      <c r="R52" s="9" t="n">
        <f aca="false">(Q52-Q51)/Q51</f>
        <v>0.00847457627118645</v>
      </c>
      <c r="S52" s="10" t="n">
        <v>4.2</v>
      </c>
      <c r="T52" s="9" t="n">
        <f aca="false">(S52-S51)/S51</f>
        <v>-0.0209790209790209</v>
      </c>
      <c r="U52" s="13" t="n">
        <v>3.32</v>
      </c>
      <c r="V52" s="9" t="n">
        <f aca="false">(U52-U51)/U51</f>
        <v>-0.0206489675516224</v>
      </c>
      <c r="W52" s="0" t="n">
        <v>1.2375</v>
      </c>
      <c r="X52" s="23" t="n">
        <f aca="false">(W52-W51)/W51</f>
        <v>0.00667046286504514</v>
      </c>
      <c r="Y52" s="0" t="n">
        <v>1.5535</v>
      </c>
      <c r="Z52" s="24" t="n">
        <f aca="false">(Y52-Y51)/Y51</f>
        <v>0.00161186331399108</v>
      </c>
    </row>
    <row r="53" customFormat="false" ht="13.8" hidden="false" customHeight="false" outlineLevel="0" collapsed="false">
      <c r="A53" s="8" t="n">
        <v>37977</v>
      </c>
      <c r="B53" s="0" t="n">
        <v>96.17</v>
      </c>
      <c r="C53" s="9" t="n">
        <f aca="false">(B53-B52)/B52</f>
        <v>0.00250182424684661</v>
      </c>
      <c r="D53" s="0" t="n">
        <v>17.45</v>
      </c>
      <c r="E53" s="9" t="n">
        <f aca="false">(D53-D52)/D52</f>
        <v>0.0627283800243604</v>
      </c>
      <c r="F53" s="0" t="n">
        <v>109.7</v>
      </c>
      <c r="G53" s="9" t="n">
        <f aca="false">(F53-F52)/F52</f>
        <v>0.00734618916437096</v>
      </c>
      <c r="H53" s="0" t="n">
        <f aca="false">AVERAGE(F39:F52)</f>
        <v>105.024285714286</v>
      </c>
      <c r="I53" s="0" t="n">
        <f aca="false">AVERAGE(F46:F52)</f>
        <v>106.517142857143</v>
      </c>
      <c r="J53" s="0" t="n">
        <f aca="false">AVERAGE(F50:F52)</f>
        <v>107.963333333333</v>
      </c>
      <c r="K53" s="10" t="n">
        <v>33.2</v>
      </c>
      <c r="L53" s="9" t="n">
        <f aca="false">(K53-K52)/K52</f>
        <v>0.0323383084577116</v>
      </c>
      <c r="M53" s="10" t="n">
        <v>30.87</v>
      </c>
      <c r="N53" s="9" t="n">
        <f aca="false">(M53-M52)/M52</f>
        <v>0.0232018561484919</v>
      </c>
      <c r="O53" s="0" t="n">
        <v>2.01</v>
      </c>
      <c r="P53" s="9" t="n">
        <f aca="false">(O53-O52)/O52</f>
        <v>0</v>
      </c>
      <c r="Q53" s="10" t="n">
        <v>1.21</v>
      </c>
      <c r="R53" s="9" t="n">
        <f aca="false">(Q53-Q52)/Q52</f>
        <v>0.0168067226890756</v>
      </c>
      <c r="S53" s="10" t="n">
        <v>4.21</v>
      </c>
      <c r="T53" s="9" t="n">
        <f aca="false">(S53-S52)/S52</f>
        <v>0.00238095238095233</v>
      </c>
      <c r="U53" s="13" t="n">
        <v>3.33</v>
      </c>
      <c r="V53" s="9" t="n">
        <f aca="false">(U53-U52)/U52</f>
        <v>0.00301204819277102</v>
      </c>
      <c r="W53" s="0" t="n">
        <v>1.243</v>
      </c>
      <c r="X53" s="23" t="n">
        <f aca="false">(W53-W52)/W52</f>
        <v>0.00444444444444449</v>
      </c>
      <c r="Y53" s="0" t="n">
        <v>1.5585</v>
      </c>
      <c r="Z53" s="24" t="n">
        <f aca="false">(Y53-Y52)/Y52</f>
        <v>0.00321853878339227</v>
      </c>
    </row>
    <row r="54" customFormat="false" ht="13.8" hidden="false" customHeight="false" outlineLevel="0" collapsed="false">
      <c r="A54" s="8" t="n">
        <v>37984</v>
      </c>
      <c r="B54" s="0" t="n">
        <v>96.88</v>
      </c>
      <c r="C54" s="9" t="n">
        <f aca="false">(B54-B53)/B53</f>
        <v>0.00738275969637094</v>
      </c>
      <c r="D54" s="0" t="n">
        <v>18.22</v>
      </c>
      <c r="E54" s="9" t="n">
        <f aca="false">(D54-D53)/D53</f>
        <v>0.0441260744985673</v>
      </c>
      <c r="F54" s="0" t="n">
        <v>111.23</v>
      </c>
      <c r="G54" s="9" t="n">
        <f aca="false">(F54-F53)/F53</f>
        <v>0.013947128532361</v>
      </c>
      <c r="H54" s="0" t="n">
        <f aca="false">AVERAGE(F40:F53)</f>
        <v>105.455</v>
      </c>
      <c r="I54" s="0" t="n">
        <f aca="false">AVERAGE(F47:F53)</f>
        <v>107.101428571429</v>
      </c>
      <c r="J54" s="0" t="n">
        <f aca="false">AVERAGE(F51:F53)</f>
        <v>108.913333333333</v>
      </c>
      <c r="K54" s="10" t="n">
        <v>32.24</v>
      </c>
      <c r="L54" s="9" t="n">
        <f aca="false">(K54-K53)/K53</f>
        <v>-0.0289156626506024</v>
      </c>
      <c r="M54" s="10" t="n">
        <v>28.84</v>
      </c>
      <c r="N54" s="9" t="n">
        <f aca="false">(M54-M53)/M53</f>
        <v>-0.0657596371882087</v>
      </c>
      <c r="O54" s="0" t="n">
        <v>2.04</v>
      </c>
      <c r="P54" s="9" t="n">
        <f aca="false">(O54-O53)/O53</f>
        <v>0.0149253731343283</v>
      </c>
      <c r="Q54" s="10" t="n">
        <v>1.24</v>
      </c>
      <c r="R54" s="9" t="n">
        <f aca="false">(Q54-Q53)/Q53</f>
        <v>0.0247933884297521</v>
      </c>
      <c r="S54" s="10" t="n">
        <v>4.3</v>
      </c>
      <c r="T54" s="9" t="n">
        <f aca="false">(S54-S53)/S53</f>
        <v>0.0213776722090261</v>
      </c>
      <c r="U54" s="13" t="n">
        <v>3.39</v>
      </c>
      <c r="V54" s="9" t="n">
        <f aca="false">(U54-U53)/U53</f>
        <v>0.0180180180180179</v>
      </c>
      <c r="W54" s="0" t="n">
        <v>1.2595</v>
      </c>
      <c r="X54" s="23" t="n">
        <f aca="false">(W54-W53)/W53</f>
        <v>0.0132743362831858</v>
      </c>
      <c r="Y54" s="0" t="n">
        <v>1.559</v>
      </c>
      <c r="Z54" s="24" t="n">
        <f aca="false">(Y54-Y53)/Y53</f>
        <v>0.000320821302534453</v>
      </c>
    </row>
    <row r="55" customFormat="false" ht="13.8" hidden="false" customHeight="false" outlineLevel="0" collapsed="false">
      <c r="A55" s="8" t="n">
        <v>37991</v>
      </c>
      <c r="B55" s="0" t="n">
        <v>97.63</v>
      </c>
      <c r="C55" s="9" t="n">
        <f aca="false">(B55-B54)/B54</f>
        <v>0.00774153592072667</v>
      </c>
      <c r="D55" s="0" t="n">
        <v>16.75</v>
      </c>
      <c r="E55" s="9" t="n">
        <f aca="false">(D55-D54)/D54</f>
        <v>-0.0806805708013172</v>
      </c>
      <c r="F55" s="0" t="n">
        <v>112.39</v>
      </c>
      <c r="G55" s="9" t="n">
        <f aca="false">(F55-F54)/F54</f>
        <v>0.0104288411399802</v>
      </c>
      <c r="H55" s="0" t="n">
        <f aca="false">AVERAGE(F41:F54)</f>
        <v>106.260714285714</v>
      </c>
      <c r="I55" s="0" t="n">
        <f aca="false">AVERAGE(F48:F54)</f>
        <v>107.925714285714</v>
      </c>
      <c r="J55" s="0" t="n">
        <f aca="false">AVERAGE(F52:F54)</f>
        <v>109.943333333333</v>
      </c>
      <c r="K55" s="10" t="n">
        <v>32.68</v>
      </c>
      <c r="L55" s="9" t="n">
        <f aca="false">(K55-K54)/K54</f>
        <v>0.0136476426799007</v>
      </c>
      <c r="M55" s="10" t="n">
        <v>29.78</v>
      </c>
      <c r="N55" s="9" t="n">
        <f aca="false">(M55-M54)/M54</f>
        <v>0.0325936199722608</v>
      </c>
      <c r="O55" s="0" t="n">
        <v>2.02</v>
      </c>
      <c r="P55" s="9" t="n">
        <f aca="false">(O55-O54)/O54</f>
        <v>-0.00980392156862724</v>
      </c>
      <c r="Q55" s="10" t="n">
        <v>1.22</v>
      </c>
      <c r="R55" s="9" t="n">
        <f aca="false">(Q55-Q54)/Q54</f>
        <v>-0.0161290322580645</v>
      </c>
      <c r="S55" s="10" t="n">
        <v>4.27</v>
      </c>
      <c r="T55" s="9" t="n">
        <f aca="false">(S55-S54)/S54</f>
        <v>-0.00697674418604657</v>
      </c>
      <c r="U55" s="13" t="n">
        <v>3.39</v>
      </c>
      <c r="V55" s="9" t="n">
        <f aca="false">(U55-U54)/U54</f>
        <v>0</v>
      </c>
      <c r="W55" s="0" t="n">
        <v>1.2841</v>
      </c>
      <c r="X55" s="23" t="n">
        <f aca="false">(W55-W54)/W54</f>
        <v>0.0195315601429138</v>
      </c>
      <c r="Y55" s="0" t="n">
        <v>1.568</v>
      </c>
      <c r="Z55" s="24" t="n">
        <f aca="false">(Y55-Y54)/Y54</f>
        <v>0.0057729313662605</v>
      </c>
    </row>
    <row r="56" customFormat="false" ht="13.8" hidden="false" customHeight="false" outlineLevel="0" collapsed="false">
      <c r="A56" s="8" t="n">
        <v>37998</v>
      </c>
      <c r="B56" s="0" t="n">
        <v>98.83</v>
      </c>
      <c r="C56" s="9" t="n">
        <f aca="false">(B56-B55)/B55</f>
        <v>0.012291303902489</v>
      </c>
      <c r="D56" s="0" t="n">
        <v>15</v>
      </c>
      <c r="E56" s="9" t="n">
        <f aca="false">(D56-D55)/D55</f>
        <v>-0.104477611940299</v>
      </c>
      <c r="F56" s="0" t="n">
        <v>114.23</v>
      </c>
      <c r="G56" s="9" t="n">
        <f aca="false">(F56-F55)/F55</f>
        <v>0.016371563306344</v>
      </c>
      <c r="H56" s="0" t="n">
        <f aca="false">AVERAGE(F42:F55)</f>
        <v>106.903571428571</v>
      </c>
      <c r="I56" s="0" t="n">
        <f aca="false">AVERAGE(F49:F55)</f>
        <v>109.094285714286</v>
      </c>
      <c r="J56" s="0" t="n">
        <f aca="false">AVERAGE(F53:F55)</f>
        <v>111.106666666667</v>
      </c>
      <c r="K56" s="10" t="n">
        <v>33.89</v>
      </c>
      <c r="L56" s="9" t="n">
        <f aca="false">(K56-K55)/K55</f>
        <v>0.0370257037943697</v>
      </c>
      <c r="M56" s="10" t="n">
        <v>31.5</v>
      </c>
      <c r="N56" s="9" t="n">
        <f aca="false">(M56-M55)/M55</f>
        <v>0.0577568838146407</v>
      </c>
      <c r="O56" s="0" t="n">
        <v>1.96</v>
      </c>
      <c r="P56" s="9" t="n">
        <f aca="false">(O56-O55)/O55</f>
        <v>-0.0297029702970299</v>
      </c>
      <c r="Q56" s="10" t="n">
        <v>1.04</v>
      </c>
      <c r="R56" s="9" t="n">
        <f aca="false">(Q56-Q55)/Q55</f>
        <v>-0.147540983606557</v>
      </c>
      <c r="S56" s="10" t="n">
        <v>4.04</v>
      </c>
      <c r="T56" s="9" t="n">
        <f aca="false">(S56-S55)/S55</f>
        <v>-0.0538641686182669</v>
      </c>
      <c r="U56" s="13" t="n">
        <v>3.17</v>
      </c>
      <c r="V56" s="9" t="n">
        <f aca="false">(U56-U55)/U55</f>
        <v>-0.0648967551622418</v>
      </c>
      <c r="W56" s="0" t="n">
        <v>1.2375</v>
      </c>
      <c r="X56" s="23" t="n">
        <f aca="false">(W56-W55)/W55</f>
        <v>-0.036290008566311</v>
      </c>
      <c r="Y56" s="0" t="n">
        <v>1.5694</v>
      </c>
      <c r="Z56" s="24" t="n">
        <f aca="false">(Y56-Y55)/Y55</f>
        <v>0.000892857142857045</v>
      </c>
    </row>
    <row r="57" customFormat="false" ht="13.8" hidden="false" customHeight="false" outlineLevel="0" collapsed="false">
      <c r="A57" s="8" t="n">
        <v>38006</v>
      </c>
      <c r="B57" s="0" t="n">
        <v>99.86</v>
      </c>
      <c r="C57" s="9" t="n">
        <f aca="false">(B57-B56)/B56</f>
        <v>0.0104219366589093</v>
      </c>
      <c r="D57" s="0" t="n">
        <v>14.84</v>
      </c>
      <c r="E57" s="9" t="n">
        <f aca="false">(D57-D56)/D56</f>
        <v>-0.0106666666666667</v>
      </c>
      <c r="F57" s="0" t="n">
        <v>114.43</v>
      </c>
      <c r="G57" s="9" t="n">
        <f aca="false">(F57-F56)/F56</f>
        <v>0.00175085354110131</v>
      </c>
      <c r="H57" s="0" t="n">
        <f aca="false">AVERAGE(F43:F56)</f>
        <v>107.593571428571</v>
      </c>
      <c r="I57" s="0" t="n">
        <f aca="false">AVERAGE(F50:F56)</f>
        <v>110.205714285714</v>
      </c>
      <c r="J57" s="0" t="n">
        <f aca="false">AVERAGE(F54:F56)</f>
        <v>112.616666666667</v>
      </c>
      <c r="K57" s="10" t="n">
        <v>34.51</v>
      </c>
      <c r="L57" s="9" t="n">
        <f aca="false">(K57-K56)/K56</f>
        <v>0.0182944821481262</v>
      </c>
      <c r="M57" s="10" t="n">
        <v>31.7</v>
      </c>
      <c r="N57" s="9" t="n">
        <f aca="false">(M57-M56)/M56</f>
        <v>0.00634920634920633</v>
      </c>
      <c r="O57" s="0" t="n">
        <v>2.04</v>
      </c>
      <c r="P57" s="9" t="n">
        <f aca="false">(O57-O56)/O56</f>
        <v>0.0408163265306123</v>
      </c>
      <c r="Q57" s="10" t="n">
        <v>0.98</v>
      </c>
      <c r="R57" s="9" t="n">
        <f aca="false">(Q57-Q56)/Q56</f>
        <v>-0.0576923076923077</v>
      </c>
      <c r="S57" s="10" t="n">
        <v>4.05</v>
      </c>
      <c r="T57" s="9" t="n">
        <f aca="false">(S57-S56)/S56</f>
        <v>0.00247524752475242</v>
      </c>
      <c r="U57" s="13" t="n">
        <v>3.18</v>
      </c>
      <c r="V57" s="9" t="n">
        <f aca="false">(U57-U56)/U56</f>
        <v>0.00315457413249205</v>
      </c>
      <c r="W57" s="0" t="n">
        <v>1.2598</v>
      </c>
      <c r="X57" s="23" t="n">
        <f aca="false">(W57-W56)/W56</f>
        <v>0.018020202020202</v>
      </c>
      <c r="Y57" s="0" t="n">
        <v>1.5653</v>
      </c>
      <c r="Z57" s="24" t="n">
        <f aca="false">(Y57-Y56)/Y56</f>
        <v>-0.00261246336179431</v>
      </c>
    </row>
    <row r="58" customFormat="false" ht="13.8" hidden="false" customHeight="false" outlineLevel="0" collapsed="false">
      <c r="A58" s="8" t="n">
        <v>38012</v>
      </c>
      <c r="B58" s="0" t="n">
        <v>99.27</v>
      </c>
      <c r="C58" s="9" t="n">
        <f aca="false">(B58-B57)/B57</f>
        <v>-0.00590827158021233</v>
      </c>
      <c r="D58" s="0" t="n">
        <v>16.63</v>
      </c>
      <c r="E58" s="9" t="n">
        <f aca="false">(D58-D57)/D57</f>
        <v>0.120619946091644</v>
      </c>
      <c r="F58" s="0" t="n">
        <v>113.48</v>
      </c>
      <c r="G58" s="9" t="n">
        <f aca="false">(F58-F57)/F57</f>
        <v>-0.00830201870138952</v>
      </c>
      <c r="H58" s="0" t="n">
        <f aca="false">AVERAGE(F44:F57)</f>
        <v>108.32</v>
      </c>
      <c r="I58" s="0" t="n">
        <f aca="false">AVERAGE(F51:F57)</f>
        <v>111.288571428571</v>
      </c>
      <c r="J58" s="0" t="n">
        <f aca="false">AVERAGE(F55:F57)</f>
        <v>113.683333333333</v>
      </c>
      <c r="K58" s="10" t="n">
        <v>35.45</v>
      </c>
      <c r="L58" s="9" t="n">
        <f aca="false">(K58-K57)/K57</f>
        <v>0.0272384815995365</v>
      </c>
      <c r="M58" s="10" t="n">
        <v>31.88</v>
      </c>
      <c r="N58" s="9" t="n">
        <f aca="false">(M58-M57)/M57</f>
        <v>0.0056782334384858</v>
      </c>
      <c r="O58" s="0" t="n">
        <v>2.12</v>
      </c>
      <c r="P58" s="9" t="n">
        <f aca="false">(O58-O57)/O57</f>
        <v>0.0392156862745098</v>
      </c>
      <c r="Q58" s="10" t="n">
        <v>1.04</v>
      </c>
      <c r="R58" s="9" t="n">
        <f aca="false">(Q58-Q57)/Q57</f>
        <v>0.0612244897959184</v>
      </c>
      <c r="S58" s="10" t="n">
        <v>4.17</v>
      </c>
      <c r="T58" s="9" t="n">
        <f aca="false">(S58-S57)/S57</f>
        <v>0.0296296296296297</v>
      </c>
      <c r="U58" s="13" t="n">
        <v>3.27</v>
      </c>
      <c r="V58" s="9" t="n">
        <f aca="false">(U58-U57)/U57</f>
        <v>0.0283018867924529</v>
      </c>
      <c r="W58" s="0" t="n">
        <v>1.2465</v>
      </c>
      <c r="X58" s="23" t="n">
        <f aca="false">(W58-W57)/W57</f>
        <v>-0.0105572313065567</v>
      </c>
      <c r="Y58" s="0" t="n">
        <v>1.5683</v>
      </c>
      <c r="Z58" s="24" t="n">
        <f aca="false">(Y58-Y57)/Y57</f>
        <v>0.00191656551459791</v>
      </c>
    </row>
    <row r="59" customFormat="false" ht="13.8" hidden="false" customHeight="false" outlineLevel="0" collapsed="false">
      <c r="A59" s="8" t="n">
        <v>38019</v>
      </c>
      <c r="B59" s="0" t="n">
        <v>99.9</v>
      </c>
      <c r="C59" s="9" t="n">
        <f aca="false">(B59-B58)/B58</f>
        <v>0.00634632819582965</v>
      </c>
      <c r="D59" s="0" t="n">
        <v>16</v>
      </c>
      <c r="E59" s="9" t="n">
        <f aca="false">(D59-D58)/D58</f>
        <v>-0.0378833433553818</v>
      </c>
      <c r="F59" s="0" t="n">
        <v>114.45</v>
      </c>
      <c r="G59" s="9" t="n">
        <f aca="false">(F59-F58)/F58</f>
        <v>0.00854776172012688</v>
      </c>
      <c r="H59" s="0" t="n">
        <f aca="false">AVERAGE(F45:F58)</f>
        <v>109.027142857143</v>
      </c>
      <c r="I59" s="0" t="n">
        <f aca="false">AVERAGE(F52:F58)</f>
        <v>112.051428571429</v>
      </c>
      <c r="J59" s="0" t="n">
        <f aca="false">AVERAGE(F56:F58)</f>
        <v>114.046666666667</v>
      </c>
      <c r="K59" s="10" t="n">
        <v>33.61</v>
      </c>
      <c r="L59" s="9" t="n">
        <f aca="false">(K59-K58)/K58</f>
        <v>-0.0519040902679832</v>
      </c>
      <c r="M59" s="10" t="n">
        <v>30.39</v>
      </c>
      <c r="N59" s="9" t="n">
        <f aca="false">(M59-M58)/M58</f>
        <v>-0.0467377666248431</v>
      </c>
      <c r="O59" s="0" t="n">
        <v>2.2</v>
      </c>
      <c r="P59" s="9" t="n">
        <f aca="false">(O59-O58)/O58</f>
        <v>0.0377358490566038</v>
      </c>
      <c r="Q59" s="10" t="n">
        <v>0.96</v>
      </c>
      <c r="R59" s="9" t="n">
        <f aca="false">(Q59-Q58)/Q58</f>
        <v>-0.076923076923077</v>
      </c>
      <c r="S59" s="10" t="n">
        <v>4.16</v>
      </c>
      <c r="T59" s="9" t="n">
        <f aca="false">(S59-S58)/S58</f>
        <v>-0.00239808153477213</v>
      </c>
      <c r="U59" s="13" t="n">
        <v>3.24</v>
      </c>
      <c r="V59" s="9" t="n">
        <f aca="false">(U59-U58)/U58</f>
        <v>-0.00917431192660544</v>
      </c>
      <c r="W59" s="0" t="n">
        <v>1.2697</v>
      </c>
      <c r="X59" s="23" t="n">
        <f aca="false">(W59-W58)/W58</f>
        <v>0.0186121139189732</v>
      </c>
      <c r="Y59" s="0" t="n">
        <v>1.5662</v>
      </c>
      <c r="Z59" s="24" t="n">
        <f aca="false">(Y59-Y58)/Y58</f>
        <v>-0.0013390295224128</v>
      </c>
    </row>
    <row r="60" customFormat="false" ht="13.8" hidden="false" customHeight="false" outlineLevel="0" collapsed="false">
      <c r="A60" s="8" t="n">
        <v>38026</v>
      </c>
      <c r="B60" s="0" t="n">
        <v>100.22</v>
      </c>
      <c r="C60" s="9" t="n">
        <f aca="false">(B60-B59)/B59</f>
        <v>0.00320320320320313</v>
      </c>
      <c r="D60" s="0" t="n">
        <v>15.58</v>
      </c>
      <c r="E60" s="9" t="n">
        <f aca="false">(D60-D59)/D59</f>
        <v>-0.02625</v>
      </c>
      <c r="F60" s="0" t="n">
        <v>115.13</v>
      </c>
      <c r="G60" s="9" t="n">
        <f aca="false">(F60-F59)/F59</f>
        <v>0.00594145915246826</v>
      </c>
      <c r="H60" s="0" t="n">
        <f aca="false">AVERAGE(F46:F59)</f>
        <v>109.680714285714</v>
      </c>
      <c r="I60" s="0" t="n">
        <f aca="false">AVERAGE(F53:F59)</f>
        <v>112.844285714286</v>
      </c>
      <c r="J60" s="0" t="n">
        <f aca="false">AVERAGE(F57:F59)</f>
        <v>114.12</v>
      </c>
      <c r="K60" s="10" t="n">
        <v>33.41</v>
      </c>
      <c r="L60" s="9" t="n">
        <f aca="false">(K60-K59)/K59</f>
        <v>-0.00595060993751868</v>
      </c>
      <c r="M60" s="10" t="n">
        <v>29.66</v>
      </c>
      <c r="N60" s="9" t="n">
        <f aca="false">(M60-M59)/M59</f>
        <v>-0.0240210595590655</v>
      </c>
      <c r="O60" s="0" t="n">
        <v>2.16</v>
      </c>
      <c r="P60" s="9" t="n">
        <f aca="false">(O60-O59)/O59</f>
        <v>-0.0181818181818182</v>
      </c>
      <c r="Q60" s="10" t="n">
        <v>0.9</v>
      </c>
      <c r="R60" s="9" t="n">
        <f aca="false">(Q60-Q59)/Q59</f>
        <v>-0.0625</v>
      </c>
      <c r="S60" s="10" t="n">
        <v>4.08</v>
      </c>
      <c r="T60" s="9" t="n">
        <f aca="false">(S60-S59)/S59</f>
        <v>-0.0192307692307692</v>
      </c>
      <c r="U60" s="13" t="n">
        <v>3.16</v>
      </c>
      <c r="V60" s="9" t="n">
        <f aca="false">(U60-U59)/U59</f>
        <v>-0.0246913580246914</v>
      </c>
      <c r="W60" s="0" t="n">
        <v>1.2745</v>
      </c>
      <c r="X60" s="23" t="n">
        <f aca="false">(W60-W59)/W59</f>
        <v>0.00378042057178854</v>
      </c>
      <c r="Y60" s="0" t="n">
        <v>1.577</v>
      </c>
      <c r="Z60" s="24" t="n">
        <f aca="false">(Y60-Y59)/Y59</f>
        <v>0.0068956710509513</v>
      </c>
    </row>
    <row r="61" customFormat="false" ht="13.8" hidden="false" customHeight="false" outlineLevel="0" collapsed="false">
      <c r="A61" s="8" t="n">
        <v>38034</v>
      </c>
      <c r="B61" s="0" t="n">
        <v>99.92</v>
      </c>
      <c r="C61" s="9" t="n">
        <f aca="false">(B61-B60)/B60</f>
        <v>-0.00299341448812609</v>
      </c>
      <c r="D61" s="0" t="n">
        <v>16.04</v>
      </c>
      <c r="E61" s="9" t="n">
        <f aca="false">(D61-D60)/D60</f>
        <v>0.0295250320924261</v>
      </c>
      <c r="F61" s="0" t="n">
        <v>114.88</v>
      </c>
      <c r="G61" s="9" t="n">
        <f aca="false">(F61-F60)/F60</f>
        <v>-0.00217145835142882</v>
      </c>
      <c r="H61" s="0" t="n">
        <f aca="false">AVERAGE(F47:F60)</f>
        <v>110.360714285714</v>
      </c>
      <c r="I61" s="0" t="n">
        <f aca="false">AVERAGE(F54:F60)</f>
        <v>113.62</v>
      </c>
      <c r="J61" s="0" t="n">
        <f aca="false">AVERAGE(F58:F60)</f>
        <v>114.353333333333</v>
      </c>
      <c r="K61" s="10" t="n">
        <v>33.88</v>
      </c>
      <c r="L61" s="9" t="n">
        <f aca="false">(K61-K60)/K60</f>
        <v>0.0140676444178392</v>
      </c>
      <c r="M61" s="10" t="n">
        <v>30.12</v>
      </c>
      <c r="N61" s="9" t="n">
        <f aca="false">(M61-M60)/M60</f>
        <v>0.0155091031692515</v>
      </c>
      <c r="O61" s="0" t="n">
        <v>2.2</v>
      </c>
      <c r="P61" s="9" t="n">
        <f aca="false">(O61-O60)/O60</f>
        <v>0.0185185185185185</v>
      </c>
      <c r="Q61" s="10" t="n">
        <v>0.84</v>
      </c>
      <c r="R61" s="9" t="n">
        <f aca="false">(Q61-Q60)/Q60</f>
        <v>-0.0666666666666667</v>
      </c>
      <c r="S61" s="10" t="n">
        <v>4.06</v>
      </c>
      <c r="T61" s="9" t="n">
        <f aca="false">(S61-S60)/S60</f>
        <v>-0.00490196078431384</v>
      </c>
      <c r="U61" s="13" t="n">
        <v>3.14</v>
      </c>
      <c r="V61" s="9" t="n">
        <f aca="false">(U61-U60)/U60</f>
        <v>-0.00632911392405078</v>
      </c>
      <c r="W61" s="0" t="n">
        <v>1.253</v>
      </c>
      <c r="X61" s="23" t="n">
        <f aca="false">(W61-W60)/W60</f>
        <v>-0.0168693605335426</v>
      </c>
      <c r="Y61" s="0" t="n">
        <v>1.579</v>
      </c>
      <c r="Z61" s="24" t="n">
        <f aca="false">(Y61-Y60)/Y60</f>
        <v>0.00126823081800888</v>
      </c>
    </row>
    <row r="62" customFormat="false" ht="13.8" hidden="false" customHeight="false" outlineLevel="0" collapsed="false">
      <c r="A62" s="8" t="n">
        <v>38040</v>
      </c>
      <c r="B62" s="0" t="n">
        <v>101.19</v>
      </c>
      <c r="C62" s="9" t="n">
        <f aca="false">(B62-B61)/B61</f>
        <v>0.0127101681345076</v>
      </c>
      <c r="D62" s="0" t="n">
        <v>14.55</v>
      </c>
      <c r="E62" s="9" t="n">
        <f aca="false">(D62-D61)/D61</f>
        <v>-0.0928927680798004</v>
      </c>
      <c r="F62" s="0" t="n">
        <v>115.02</v>
      </c>
      <c r="G62" s="9" t="n">
        <f aca="false">(F62-F61)/F61</f>
        <v>0.00121866295264624</v>
      </c>
      <c r="H62" s="0" t="n">
        <f aca="false">AVERAGE(F48:F61)</f>
        <v>111.033571428571</v>
      </c>
      <c r="I62" s="0" t="n">
        <f aca="false">AVERAGE(F55:F61)</f>
        <v>114.141428571429</v>
      </c>
      <c r="J62" s="0" t="n">
        <f aca="false">AVERAGE(F59:F61)</f>
        <v>114.82</v>
      </c>
      <c r="K62" s="10" t="n">
        <v>35.54</v>
      </c>
      <c r="L62" s="9" t="n">
        <f aca="false">(K62-K61)/K61</f>
        <v>0.0489964580873671</v>
      </c>
      <c r="M62" s="10" t="n">
        <v>31.39</v>
      </c>
      <c r="N62" s="9" t="n">
        <f aca="false">(M62-M61)/M61</f>
        <v>0.0421646746347941</v>
      </c>
      <c r="O62" s="0" t="n">
        <v>2.28</v>
      </c>
      <c r="P62" s="9" t="n">
        <f aca="false">(O62-O61)/O61</f>
        <v>0.0363636363636362</v>
      </c>
      <c r="Q62" s="10" t="n">
        <v>0.73</v>
      </c>
      <c r="R62" s="9" t="n">
        <f aca="false">(Q62-Q61)/Q61</f>
        <v>-0.130952380952381</v>
      </c>
      <c r="S62" s="10" t="n">
        <v>4.03</v>
      </c>
      <c r="T62" s="9" t="n">
        <f aca="false">(S62-S61)/S61</f>
        <v>-0.0073891625615762</v>
      </c>
      <c r="U62" s="13" t="n">
        <v>3.09</v>
      </c>
      <c r="V62" s="9" t="n">
        <f aca="false">(U62-U61)/U61</f>
        <v>-0.0159235668789807</v>
      </c>
      <c r="W62" s="0" t="n">
        <v>1.249</v>
      </c>
      <c r="X62" s="23" t="n">
        <f aca="false">(W62-W61)/W61</f>
        <v>-0.00319233838786894</v>
      </c>
      <c r="Y62" s="0" t="n">
        <v>1.5764</v>
      </c>
      <c r="Z62" s="24" t="n">
        <f aca="false">(Y62-Y61)/Y61</f>
        <v>-0.00164661177960731</v>
      </c>
    </row>
    <row r="63" customFormat="false" ht="13.8" hidden="false" customHeight="false" outlineLevel="0" collapsed="false">
      <c r="A63" s="8" t="n">
        <v>38047</v>
      </c>
      <c r="B63" s="0" t="n">
        <v>102.75</v>
      </c>
      <c r="C63" s="9" t="n">
        <f aca="false">(B63-B62)/B62</f>
        <v>0.0154165431366736</v>
      </c>
      <c r="D63" s="0" t="n">
        <v>14.48</v>
      </c>
      <c r="E63" s="9" t="n">
        <f aca="false">(D63-D62)/D62</f>
        <v>-0.0048109965635739</v>
      </c>
      <c r="F63" s="0" t="n">
        <v>116.38</v>
      </c>
      <c r="G63" s="9" t="n">
        <f aca="false">(F63-F62)/F62</f>
        <v>0.0118240306033733</v>
      </c>
      <c r="H63" s="0" t="n">
        <f aca="false">AVERAGE(F49:F62)</f>
        <v>111.805714285714</v>
      </c>
      <c r="I63" s="0" t="n">
        <f aca="false">AVERAGE(F56:F62)</f>
        <v>114.517142857143</v>
      </c>
      <c r="J63" s="0" t="n">
        <f aca="false">AVERAGE(F60:F62)</f>
        <v>115.01</v>
      </c>
      <c r="K63" s="10" t="n">
        <v>36.08</v>
      </c>
      <c r="L63" s="9" t="n">
        <f aca="false">(K63-K62)/K62</f>
        <v>0.0151941474395048</v>
      </c>
      <c r="M63" s="10" t="n">
        <v>32.27</v>
      </c>
      <c r="N63" s="9" t="n">
        <f aca="false">(M63-M62)/M62</f>
        <v>0.0280344058617395</v>
      </c>
      <c r="O63" s="0" t="n">
        <v>2.37</v>
      </c>
      <c r="P63" s="9" t="n">
        <f aca="false">(O63-O62)/O62</f>
        <v>0.0394736842105264</v>
      </c>
      <c r="Q63" s="10" t="n">
        <v>0.61</v>
      </c>
      <c r="R63" s="9" t="n">
        <f aca="false">(Q63-Q62)/Q62</f>
        <v>-0.164383561643836</v>
      </c>
      <c r="S63" s="10" t="n">
        <v>4</v>
      </c>
      <c r="T63" s="9" t="n">
        <f aca="false">(S63-S62)/S62</f>
        <v>-0.00744416873449138</v>
      </c>
      <c r="U63" s="13" t="n">
        <v>3.06</v>
      </c>
      <c r="V63" s="9" t="n">
        <f aca="false">(U63-U62)/U62</f>
        <v>-0.00970873786407775</v>
      </c>
      <c r="W63" s="0" t="n">
        <v>1.2376</v>
      </c>
      <c r="X63" s="23" t="n">
        <f aca="false">(W63-W62)/W62</f>
        <v>-0.00912730184147324</v>
      </c>
      <c r="Y63" s="0" t="n">
        <v>1.5793</v>
      </c>
      <c r="Z63" s="24" t="n">
        <f aca="false">(Y63-Y62)/Y62</f>
        <v>0.00183963461050489</v>
      </c>
    </row>
    <row r="64" customFormat="false" ht="13.8" hidden="false" customHeight="false" outlineLevel="0" collapsed="false">
      <c r="A64" s="8" t="n">
        <v>38054</v>
      </c>
      <c r="B64" s="0" t="n">
        <v>100.02</v>
      </c>
      <c r="C64" s="9" t="n">
        <f aca="false">(B64-B63)/B63</f>
        <v>-0.0265693430656935</v>
      </c>
      <c r="D64" s="0" t="n">
        <v>18.3</v>
      </c>
      <c r="E64" s="9" t="n">
        <f aca="false">(D64-D63)/D63</f>
        <v>0.263812154696133</v>
      </c>
      <c r="F64" s="0" t="n">
        <v>112.58</v>
      </c>
      <c r="G64" s="9" t="n">
        <f aca="false">(F64-F63)/F63</f>
        <v>-0.032651658360543</v>
      </c>
      <c r="H64" s="0" t="n">
        <f aca="false">AVERAGE(F50:F63)</f>
        <v>112.515</v>
      </c>
      <c r="I64" s="0" t="n">
        <f aca="false">AVERAGE(F57:F63)</f>
        <v>114.824285714286</v>
      </c>
      <c r="J64" s="0" t="n">
        <f aca="false">AVERAGE(F61:F63)</f>
        <v>115.426666666667</v>
      </c>
      <c r="K64" s="10" t="n">
        <v>36.67</v>
      </c>
      <c r="L64" s="9" t="n">
        <f aca="false">(K64-K63)/K63</f>
        <v>0.0163525498891353</v>
      </c>
      <c r="M64" s="10" t="n">
        <v>33.73</v>
      </c>
      <c r="N64" s="9" t="n">
        <f aca="false">(M64-M63)/M63</f>
        <v>0.0452432599938021</v>
      </c>
      <c r="O64" s="0" t="n">
        <v>2.19</v>
      </c>
      <c r="P64" s="9" t="n">
        <f aca="false">(O64-O63)/O63</f>
        <v>-0.0759493670886075</v>
      </c>
      <c r="Q64" s="10" t="n">
        <v>0.53</v>
      </c>
      <c r="R64" s="9" t="n">
        <f aca="false">(Q64-Q63)/Q63</f>
        <v>-0.131147540983606</v>
      </c>
      <c r="S64" s="10" t="n">
        <v>3.75</v>
      </c>
      <c r="T64" s="9" t="n">
        <f aca="false">(S64-S63)/S63</f>
        <v>-0.0625</v>
      </c>
      <c r="U64" s="13" t="n">
        <v>2.81</v>
      </c>
      <c r="V64" s="9" t="n">
        <f aca="false">(U64-U63)/U63</f>
        <v>-0.0816993464052288</v>
      </c>
      <c r="W64" s="0" t="n">
        <v>1.2223</v>
      </c>
      <c r="X64" s="23" t="n">
        <f aca="false">(W64-W63)/W63</f>
        <v>-0.0123626373626374</v>
      </c>
      <c r="Y64" s="0" t="n">
        <v>1.5682</v>
      </c>
      <c r="Z64" s="24" t="n">
        <f aca="false">(Y64-Y63)/Y63</f>
        <v>-0.00702843031722908</v>
      </c>
    </row>
    <row r="65" customFormat="false" ht="13.8" hidden="false" customHeight="false" outlineLevel="0" collapsed="false">
      <c r="A65" s="8" t="n">
        <v>38061</v>
      </c>
      <c r="B65" s="0" t="n">
        <v>99.87</v>
      </c>
      <c r="C65" s="9" t="n">
        <f aca="false">(B65-B64)/B64</f>
        <v>-0.00149970005998792</v>
      </c>
      <c r="D65" s="0" t="n">
        <v>19.15</v>
      </c>
      <c r="E65" s="9" t="n">
        <f aca="false">(D65-D64)/D64</f>
        <v>0.0464480874316939</v>
      </c>
      <c r="F65" s="0" t="n">
        <v>111.06</v>
      </c>
      <c r="G65" s="9" t="n">
        <f aca="false">(F65-F64)/F64</f>
        <v>-0.0135015100373068</v>
      </c>
      <c r="H65" s="0" t="n">
        <f aca="false">AVERAGE(F51:F64)</f>
        <v>112.924285714286</v>
      </c>
      <c r="I65" s="0" t="n">
        <f aca="false">AVERAGE(F58:F64)</f>
        <v>114.56</v>
      </c>
      <c r="J65" s="0" t="n">
        <f aca="false">AVERAGE(F62:F64)</f>
        <v>114.66</v>
      </c>
      <c r="K65" s="10" t="n">
        <v>36.44</v>
      </c>
      <c r="L65" s="9" t="n">
        <f aca="false">(K65-K64)/K64</f>
        <v>-0.00627215707662951</v>
      </c>
      <c r="M65" s="10" t="n">
        <v>33.36</v>
      </c>
      <c r="N65" s="9" t="n">
        <f aca="false">(M65-M64)/M64</f>
        <v>-0.01096946338571</v>
      </c>
      <c r="O65" s="0" t="n">
        <v>2.25</v>
      </c>
      <c r="P65" s="9" t="n">
        <f aca="false">(O65-O64)/O64</f>
        <v>0.0273972602739724</v>
      </c>
      <c r="Q65" s="10" t="n">
        <v>0.45</v>
      </c>
      <c r="R65" s="9" t="n">
        <f aca="false">(Q65-Q64)/Q64</f>
        <v>-0.150943396226415</v>
      </c>
      <c r="S65" s="10" t="n">
        <v>3.75</v>
      </c>
      <c r="T65" s="9" t="n">
        <f aca="false">(S65-S64)/S64</f>
        <v>0</v>
      </c>
      <c r="U65" s="13" t="n">
        <v>2.82</v>
      </c>
      <c r="V65" s="9" t="n">
        <f aca="false">(U65-U64)/U64</f>
        <v>0.00355871886121005</v>
      </c>
      <c r="W65" s="0" t="n">
        <v>1.228</v>
      </c>
      <c r="X65" s="23" t="n">
        <f aca="false">(W65-W64)/W64</f>
        <v>0.00466333960566149</v>
      </c>
      <c r="Y65" s="0" t="n">
        <v>1.5591</v>
      </c>
      <c r="Z65" s="24" t="n">
        <f aca="false">(Y65-Y64)/Y64</f>
        <v>-0.00580283127152156</v>
      </c>
    </row>
    <row r="66" customFormat="false" ht="13.8" hidden="false" customHeight="false" outlineLevel="0" collapsed="false">
      <c r="A66" s="8" t="n">
        <v>38068</v>
      </c>
      <c r="B66" s="0" t="n">
        <v>99.15</v>
      </c>
      <c r="C66" s="9" t="n">
        <f aca="false">(B66-B65)/B65</f>
        <v>-0.00720937218383898</v>
      </c>
      <c r="D66" s="0" t="n">
        <v>17.33</v>
      </c>
      <c r="E66" s="9" t="n">
        <f aca="false">(D66-D65)/D65</f>
        <v>-0.0950391644908616</v>
      </c>
      <c r="F66" s="0" t="n">
        <v>111.03</v>
      </c>
      <c r="G66" s="9" t="n">
        <f aca="false">(F66-F65)/F65</f>
        <v>-0.000270124257158303</v>
      </c>
      <c r="H66" s="0" t="n">
        <f aca="false">AVERAGE(F52:F65)</f>
        <v>113.132857142857</v>
      </c>
      <c r="I66" s="0" t="n">
        <f aca="false">AVERAGE(F59:F65)</f>
        <v>114.214285714286</v>
      </c>
      <c r="J66" s="0" t="n">
        <f aca="false">AVERAGE(F63:F65)</f>
        <v>113.34</v>
      </c>
      <c r="K66" s="10" t="n">
        <v>37.78</v>
      </c>
      <c r="L66" s="9" t="n">
        <f aca="false">(K66-K65)/K65</f>
        <v>0.0367727771679474</v>
      </c>
      <c r="M66" s="10" t="n">
        <v>34.56</v>
      </c>
      <c r="N66" s="9" t="n">
        <f aca="false">(M66-M65)/M65</f>
        <v>0.0359712230215828</v>
      </c>
      <c r="O66" s="0" t="n">
        <v>2.26</v>
      </c>
      <c r="P66" s="9" t="n">
        <f aca="false">(O66-O65)/O65</f>
        <v>0.00444444444444435</v>
      </c>
      <c r="Q66" s="10" t="n">
        <v>0.45</v>
      </c>
      <c r="R66" s="9" t="n">
        <f aca="false">(Q66-Q65)/Q65</f>
        <v>0</v>
      </c>
      <c r="S66" s="10" t="n">
        <v>3.76</v>
      </c>
      <c r="T66" s="9" t="n">
        <f aca="false">(S66-S65)/S65</f>
        <v>0.00266666666666661</v>
      </c>
      <c r="U66" s="13" t="n">
        <v>2.83</v>
      </c>
      <c r="V66" s="9" t="n">
        <f aca="false">(U66-U65)/U65</f>
        <v>0.00354609929077991</v>
      </c>
      <c r="W66" s="0" t="n">
        <v>1.2118</v>
      </c>
      <c r="X66" s="23" t="n">
        <f aca="false">(W66-W65)/W65</f>
        <v>-0.0131921824104234</v>
      </c>
      <c r="Y66" s="0" t="n">
        <v>1.558</v>
      </c>
      <c r="Z66" s="24" t="n">
        <f aca="false">(Y66-Y65)/Y65</f>
        <v>-0.000705535244692373</v>
      </c>
    </row>
    <row r="67" customFormat="false" ht="13.8" hidden="false" customHeight="false" outlineLevel="0" collapsed="false">
      <c r="A67" s="8" t="n">
        <v>38075</v>
      </c>
      <c r="B67" s="0" t="n">
        <v>100.2</v>
      </c>
      <c r="C67" s="9" t="n">
        <f aca="false">(B67-B66)/B66</f>
        <v>0.010590015128593</v>
      </c>
      <c r="D67" s="0" t="n">
        <v>15.64</v>
      </c>
      <c r="E67" s="9" t="n">
        <f aca="false">(D67-D66)/D66</f>
        <v>-0.0975187536064627</v>
      </c>
      <c r="F67" s="0" t="n">
        <v>114.64</v>
      </c>
      <c r="G67" s="9" t="n">
        <f aca="false">(F67-F66)/F66</f>
        <v>0.0325137350265694</v>
      </c>
      <c r="H67" s="0" t="n">
        <f aca="false">AVERAGE(F53:F66)</f>
        <v>113.285</v>
      </c>
      <c r="I67" s="0" t="n">
        <f aca="false">AVERAGE(F60:F66)</f>
        <v>113.725714285714</v>
      </c>
      <c r="J67" s="0" t="n">
        <f aca="false">AVERAGE(F64:F66)</f>
        <v>111.556666666667</v>
      </c>
      <c r="K67" s="10" t="n">
        <v>36.65</v>
      </c>
      <c r="L67" s="9" t="n">
        <f aca="false">(K67-K66)/K66</f>
        <v>-0.0299100052938063</v>
      </c>
      <c r="M67" s="10" t="n">
        <v>33.59</v>
      </c>
      <c r="N67" s="9" t="n">
        <f aca="false">(M67-M66)/M66</f>
        <v>-0.0280671296296296</v>
      </c>
      <c r="O67" s="0" t="n">
        <v>2.32</v>
      </c>
      <c r="P67" s="9" t="n">
        <f aca="false">(O67-O66)/O66</f>
        <v>0.0265486725663719</v>
      </c>
      <c r="Q67" s="10" t="n">
        <v>0.59</v>
      </c>
      <c r="R67" s="9" t="n">
        <f aca="false">(Q67-Q66)/Q66</f>
        <v>0.311111111111111</v>
      </c>
      <c r="S67" s="10" t="n">
        <v>3.95</v>
      </c>
      <c r="T67" s="9" t="n">
        <f aca="false">(S67-S66)/S66</f>
        <v>0.0505319148936171</v>
      </c>
      <c r="U67" s="13" t="n">
        <v>3.02</v>
      </c>
      <c r="V67" s="9" t="n">
        <f aca="false">(U67-U66)/U66</f>
        <v>0.0671378091872793</v>
      </c>
      <c r="W67" s="0" t="n">
        <v>1.2134</v>
      </c>
      <c r="X67" s="23" t="n">
        <f aca="false">(W67-W66)/W66</f>
        <v>0.00132034989272161</v>
      </c>
      <c r="Y67" s="0" t="n">
        <v>1.5666</v>
      </c>
      <c r="Z67" s="24" t="n">
        <f aca="false">(Y67-Y66)/Y66</f>
        <v>0.00551989730423616</v>
      </c>
    </row>
    <row r="68" customFormat="false" ht="13.8" hidden="false" customHeight="false" outlineLevel="0" collapsed="false">
      <c r="A68" s="8" t="n">
        <v>38082</v>
      </c>
      <c r="B68" s="0" t="n">
        <v>100</v>
      </c>
      <c r="C68" s="9" t="n">
        <f aca="false">(B68-B67)/B67</f>
        <v>-0.00199600798403196</v>
      </c>
      <c r="D68" s="0" t="n">
        <v>16.26</v>
      </c>
      <c r="E68" s="9" t="n">
        <f aca="false">(D68-D67)/D67</f>
        <v>0.0396419437340154</v>
      </c>
      <c r="F68" s="0" t="n">
        <v>114.37</v>
      </c>
      <c r="G68" s="9" t="n">
        <f aca="false">(F68-F67)/F67</f>
        <v>-0.00235519888346124</v>
      </c>
      <c r="H68" s="0" t="n">
        <f aca="false">AVERAGE(F54:F67)</f>
        <v>113.637857142857</v>
      </c>
      <c r="I68" s="0" t="n">
        <f aca="false">AVERAGE(F61:F67)</f>
        <v>113.655714285714</v>
      </c>
      <c r="J68" s="0" t="n">
        <f aca="false">AVERAGE(F65:F67)</f>
        <v>112.243333333333</v>
      </c>
      <c r="K68" s="10" t="n">
        <v>35.23</v>
      </c>
      <c r="L68" s="9" t="n">
        <f aca="false">(K68-K67)/K67</f>
        <v>-0.0387448840381992</v>
      </c>
      <c r="M68" s="10" t="n">
        <v>32.23</v>
      </c>
      <c r="N68" s="9" t="n">
        <f aca="false">(M68-M67)/M67</f>
        <v>-0.0404882405477823</v>
      </c>
      <c r="O68" s="0" t="n">
        <v>2.35</v>
      </c>
      <c r="P68" s="9" t="n">
        <f aca="false">(O68-O67)/O67</f>
        <v>0.0129310344827585</v>
      </c>
      <c r="Q68" s="10" t="n">
        <v>0.86</v>
      </c>
      <c r="R68" s="9" t="n">
        <f aca="false">(Q68-Q67)/Q67</f>
        <v>0.457627118644068</v>
      </c>
      <c r="S68" s="10" t="n">
        <v>4.21</v>
      </c>
      <c r="T68" s="9" t="n">
        <f aca="false">(S68-S67)/S67</f>
        <v>0.0658227848101265</v>
      </c>
      <c r="U68" s="13" t="n">
        <v>3.28</v>
      </c>
      <c r="V68" s="9" t="n">
        <f aca="false">(U68-U67)/U67</f>
        <v>0.0860927152317882</v>
      </c>
      <c r="W68" s="0" t="n">
        <v>1.209</v>
      </c>
      <c r="X68" s="23" t="n">
        <f aca="false">(W68-W67)/W67</f>
        <v>-0.00362617438602271</v>
      </c>
      <c r="Y68" s="0" t="n">
        <v>1.5505</v>
      </c>
      <c r="Z68" s="24" t="n">
        <f aca="false">(Y68-Y67)/Y67</f>
        <v>-0.0102770330652368</v>
      </c>
    </row>
    <row r="69" customFormat="false" ht="13.8" hidden="false" customHeight="false" outlineLevel="0" collapsed="false">
      <c r="A69" s="8" t="n">
        <v>38089</v>
      </c>
      <c r="B69" s="0" t="n">
        <v>97.38</v>
      </c>
      <c r="C69" s="9" t="n">
        <f aca="false">(B69-B68)/B68</f>
        <v>-0.0262</v>
      </c>
      <c r="D69" s="0" t="n">
        <v>14.94</v>
      </c>
      <c r="E69" s="9" t="n">
        <f aca="false">(D69-D68)/D68</f>
        <v>-0.0811808118081182</v>
      </c>
      <c r="F69" s="0" t="n">
        <v>113.83</v>
      </c>
      <c r="G69" s="9" t="n">
        <f aca="false">(F69-F68)/F68</f>
        <v>-0.00472151788056314</v>
      </c>
      <c r="H69" s="0" t="n">
        <f aca="false">AVERAGE(F55:F68)</f>
        <v>113.862142857143</v>
      </c>
      <c r="I69" s="0" t="n">
        <f aca="false">AVERAGE(F62:F68)</f>
        <v>113.582857142857</v>
      </c>
      <c r="J69" s="0" t="n">
        <f aca="false">AVERAGE(F66:F68)</f>
        <v>113.346666666667</v>
      </c>
      <c r="K69" s="10" t="n">
        <v>35.7</v>
      </c>
      <c r="L69" s="9" t="n">
        <f aca="false">(K69-K68)/K68</f>
        <v>0.0133409026397958</v>
      </c>
      <c r="M69" s="10" t="n">
        <v>32.75</v>
      </c>
      <c r="N69" s="9" t="n">
        <f aca="false">(M69-M68)/M68</f>
        <v>0.0161340366118524</v>
      </c>
      <c r="O69" s="0" t="n">
        <v>2.4</v>
      </c>
      <c r="P69" s="9" t="n">
        <f aca="false">(O69-O68)/O68</f>
        <v>0.0212765957446808</v>
      </c>
      <c r="Q69" s="10" t="n">
        <v>0.98</v>
      </c>
      <c r="R69" s="9" t="n">
        <f aca="false">(Q69-Q68)/Q68</f>
        <v>0.13953488372093</v>
      </c>
      <c r="S69" s="10" t="n">
        <v>4.36</v>
      </c>
      <c r="T69" s="9" t="n">
        <f aca="false">(S69-S68)/S68</f>
        <v>0.0356294536817103</v>
      </c>
      <c r="U69" s="13" t="n">
        <v>3.43</v>
      </c>
      <c r="V69" s="9" t="n">
        <f aca="false">(U69-U68)/U68</f>
        <v>0.0457317073170731</v>
      </c>
      <c r="W69" s="0" t="n">
        <v>1.1993</v>
      </c>
      <c r="X69" s="23" t="n">
        <f aca="false">(W69-W68)/W68</f>
        <v>-0.00802315963606289</v>
      </c>
      <c r="Y69" s="0" t="n">
        <v>1.5524</v>
      </c>
      <c r="Z69" s="24" t="n">
        <f aca="false">(Y69-Y68)/Y68</f>
        <v>0.00122541115769108</v>
      </c>
    </row>
    <row r="70" customFormat="false" ht="13.8" hidden="false" customHeight="false" outlineLevel="0" collapsed="false">
      <c r="A70" s="8" t="n">
        <v>38096</v>
      </c>
      <c r="B70" s="0" t="n">
        <v>97.02</v>
      </c>
      <c r="C70" s="9" t="n">
        <f aca="false">(B70-B69)/B69</f>
        <v>-0.00369685767097966</v>
      </c>
      <c r="D70" s="0" t="n">
        <v>14.01</v>
      </c>
      <c r="E70" s="9" t="n">
        <f aca="false">(D70-D69)/D69</f>
        <v>-0.0622489959839357</v>
      </c>
      <c r="F70" s="0" t="n">
        <v>114.36</v>
      </c>
      <c r="G70" s="9" t="n">
        <f aca="false">(F70-F69)/F69</f>
        <v>0.00465606606342793</v>
      </c>
      <c r="H70" s="0" t="n">
        <f aca="false">AVERAGE(F56:F69)</f>
        <v>113.965</v>
      </c>
      <c r="I70" s="0" t="n">
        <f aca="false">AVERAGE(F63:F69)</f>
        <v>113.412857142857</v>
      </c>
      <c r="J70" s="0" t="n">
        <f aca="false">AVERAGE(F67:F69)</f>
        <v>114.28</v>
      </c>
      <c r="K70" s="10" t="n">
        <v>37.39</v>
      </c>
      <c r="L70" s="9" t="n">
        <f aca="false">(K70-K69)/K69</f>
        <v>0.0473389355742296</v>
      </c>
      <c r="M70" s="10" t="n">
        <v>33.95</v>
      </c>
      <c r="N70" s="9" t="n">
        <f aca="false">(M70-M69)/M69</f>
        <v>0.0366412213740459</v>
      </c>
      <c r="O70" s="0" t="n">
        <v>2.39</v>
      </c>
      <c r="P70" s="9" t="n">
        <f aca="false">(O70-O69)/O69</f>
        <v>-0.00416666666666658</v>
      </c>
      <c r="Q70" s="10" t="n">
        <v>1.1</v>
      </c>
      <c r="R70" s="9" t="n">
        <f aca="false">(Q70-Q69)/Q69</f>
        <v>0.122448979591837</v>
      </c>
      <c r="S70" s="10" t="n">
        <v>4.43</v>
      </c>
      <c r="T70" s="9" t="n">
        <f aca="false">(S70-S69)/S69</f>
        <v>0.0160550458715595</v>
      </c>
      <c r="U70" s="13" t="n">
        <v>3.47</v>
      </c>
      <c r="V70" s="9" t="n">
        <f aca="false">(U70-U69)/U69</f>
        <v>0.0116618075801748</v>
      </c>
      <c r="W70" s="0" t="n">
        <v>1.1837</v>
      </c>
      <c r="X70" s="23" t="n">
        <f aca="false">(W70-W69)/W69</f>
        <v>-0.0130075877595264</v>
      </c>
      <c r="Y70" s="0" t="n">
        <v>1.5579</v>
      </c>
      <c r="Z70" s="24" t="n">
        <f aca="false">(Y70-Y69)/Y69</f>
        <v>0.00354290131409434</v>
      </c>
    </row>
    <row r="71" customFormat="false" ht="13.8" hidden="false" customHeight="false" outlineLevel="0" collapsed="false">
      <c r="A71" s="8" t="n">
        <v>38103</v>
      </c>
      <c r="B71" s="0" t="n">
        <v>95.38</v>
      </c>
      <c r="C71" s="9" t="n">
        <f aca="false">(B71-B70)/B70</f>
        <v>-0.0169037311894455</v>
      </c>
      <c r="D71" s="0" t="n">
        <v>17.19</v>
      </c>
      <c r="E71" s="9" t="n">
        <f aca="false">(D71-D70)/D70</f>
        <v>0.226980728051392</v>
      </c>
      <c r="F71" s="0" t="n">
        <v>110.96</v>
      </c>
      <c r="G71" s="9" t="n">
        <f aca="false">(F71-F70)/F70</f>
        <v>-0.0297306750612103</v>
      </c>
      <c r="H71" s="0" t="n">
        <f aca="false">AVERAGE(F57:F70)</f>
        <v>113.974285714286</v>
      </c>
      <c r="I71" s="0" t="n">
        <f aca="false">AVERAGE(F64:F70)</f>
        <v>113.124285714286</v>
      </c>
      <c r="J71" s="0" t="n">
        <f aca="false">AVERAGE(F68:F70)</f>
        <v>114.186666666667</v>
      </c>
      <c r="K71" s="10" t="n">
        <v>37.32</v>
      </c>
      <c r="L71" s="9" t="n">
        <f aca="false">(K71-K70)/K70</f>
        <v>-0.00187215833110458</v>
      </c>
      <c r="M71" s="10" t="n">
        <v>33.7</v>
      </c>
      <c r="N71" s="9" t="n">
        <f aca="false">(M71-M70)/M70</f>
        <v>-0.00736377025036819</v>
      </c>
      <c r="O71" s="0" t="n">
        <v>2.36</v>
      </c>
      <c r="P71" s="9" t="n">
        <f aca="false">(O71-O70)/O70</f>
        <v>-0.01255230125523</v>
      </c>
      <c r="Q71" s="10" t="n">
        <v>1.24</v>
      </c>
      <c r="R71" s="9" t="n">
        <f aca="false">(Q71-Q70)/Q70</f>
        <v>0.127272727272727</v>
      </c>
      <c r="S71" s="10" t="n">
        <v>4.49</v>
      </c>
      <c r="T71" s="9" t="n">
        <f aca="false">(S71-S70)/S70</f>
        <v>0.0135440180586909</v>
      </c>
      <c r="U71" s="13" t="n">
        <v>3.53</v>
      </c>
      <c r="V71" s="9" t="n">
        <f aca="false">(U71-U70)/U70</f>
        <v>0.0172910662824209</v>
      </c>
      <c r="W71" s="0" t="n">
        <v>1.1984</v>
      </c>
      <c r="X71" s="23" t="n">
        <f aca="false">(W71-W70)/W70</f>
        <v>0.0124186871673565</v>
      </c>
      <c r="Y71" s="0" t="n">
        <v>1.5523</v>
      </c>
      <c r="Z71" s="24" t="n">
        <f aca="false">(Y71-Y70)/Y70</f>
        <v>-0.00359458245073499</v>
      </c>
    </row>
    <row r="72" customFormat="false" ht="13.8" hidden="false" customHeight="false" outlineLevel="0" collapsed="false">
      <c r="A72" s="8" t="n">
        <v>38110</v>
      </c>
      <c r="B72" s="0" t="n">
        <v>93.24</v>
      </c>
      <c r="C72" s="9" t="n">
        <f aca="false">(B72-B71)/B71</f>
        <v>-0.022436569511428</v>
      </c>
      <c r="D72" s="0" t="n">
        <v>18.13</v>
      </c>
      <c r="E72" s="9" t="n">
        <f aca="false">(D72-D71)/D71</f>
        <v>0.0546829552065153</v>
      </c>
      <c r="F72" s="0" t="n">
        <v>109.96</v>
      </c>
      <c r="G72" s="9" t="n">
        <f aca="false">(F72-F71)/F71</f>
        <v>-0.00901225666906994</v>
      </c>
      <c r="H72" s="0" t="n">
        <f aca="false">AVERAGE(F58:F71)</f>
        <v>113.726428571429</v>
      </c>
      <c r="I72" s="0" t="n">
        <f aca="false">AVERAGE(F65:F71)</f>
        <v>112.892857142857</v>
      </c>
      <c r="J72" s="0" t="n">
        <f aca="false">AVERAGE(F69:F71)</f>
        <v>113.05</v>
      </c>
      <c r="K72" s="10" t="n">
        <v>37.31</v>
      </c>
      <c r="L72" s="9" t="n">
        <f aca="false">(K72-K71)/K71</f>
        <v>-0.000267952840300054</v>
      </c>
      <c r="M72" s="10" t="n">
        <v>34.64</v>
      </c>
      <c r="N72" s="9" t="n">
        <f aca="false">(M72-M71)/M71</f>
        <v>0.0278931750741839</v>
      </c>
      <c r="O72" s="0" t="n">
        <v>2.41</v>
      </c>
      <c r="P72" s="9" t="n">
        <f aca="false">(O72-O71)/O71</f>
        <v>0.021186440677966</v>
      </c>
      <c r="Q72" s="10" t="n">
        <v>1.33</v>
      </c>
      <c r="R72" s="9" t="n">
        <f aca="false">(Q72-Q71)/Q71</f>
        <v>0.0725806451612904</v>
      </c>
      <c r="S72" s="10" t="n">
        <v>4.62</v>
      </c>
      <c r="T72" s="9" t="n">
        <f aca="false">(S72-S71)/S71</f>
        <v>0.0289532293986637</v>
      </c>
      <c r="U72" s="13" t="n">
        <v>3.62</v>
      </c>
      <c r="V72" s="9" t="n">
        <f aca="false">(U72-U71)/U71</f>
        <v>0.0254957507082153</v>
      </c>
      <c r="W72" s="0" t="n">
        <v>1.1895</v>
      </c>
      <c r="X72" s="23" t="n">
        <f aca="false">(W72-W71)/W71</f>
        <v>-0.00742656875834438</v>
      </c>
      <c r="Y72" s="0" t="n">
        <v>1.5469</v>
      </c>
      <c r="Z72" s="24" t="n">
        <f aca="false">(Y72-Y71)/Y71</f>
        <v>-0.00347870901243321</v>
      </c>
    </row>
    <row r="73" customFormat="false" ht="13.8" hidden="false" customHeight="false" outlineLevel="0" collapsed="false">
      <c r="A73" s="8" t="n">
        <v>38117</v>
      </c>
      <c r="B73" s="0" t="n">
        <v>93.5</v>
      </c>
      <c r="C73" s="9" t="n">
        <f aca="false">(B73-B72)/B72</f>
        <v>0.00278850278850284</v>
      </c>
      <c r="D73" s="0" t="n">
        <v>18.47</v>
      </c>
      <c r="E73" s="9" t="n">
        <f aca="false">(D73-D72)/D72</f>
        <v>0.0187534473248759</v>
      </c>
      <c r="F73" s="0" t="n">
        <v>110.04</v>
      </c>
      <c r="G73" s="9" t="n">
        <f aca="false">(F73-F72)/F72</f>
        <v>0.000727537286286036</v>
      </c>
      <c r="H73" s="0" t="n">
        <f aca="false">AVERAGE(F59:F72)</f>
        <v>113.475</v>
      </c>
      <c r="I73" s="0" t="n">
        <f aca="false">AVERAGE(F66:F72)</f>
        <v>112.735714285714</v>
      </c>
      <c r="J73" s="0" t="n">
        <f aca="false">AVERAGE(F70:F72)</f>
        <v>111.76</v>
      </c>
      <c r="K73" s="10" t="n">
        <v>39.24</v>
      </c>
      <c r="L73" s="9" t="n">
        <f aca="false">(K73-K72)/K72</f>
        <v>0.0517287590458322</v>
      </c>
      <c r="M73" s="10" t="n">
        <v>36.38</v>
      </c>
      <c r="N73" s="9" t="n">
        <f aca="false">(M73-M72)/M72</f>
        <v>0.0502309468822172</v>
      </c>
      <c r="O73" s="0" t="n">
        <v>2.5</v>
      </c>
      <c r="P73" s="9" t="n">
        <f aca="false">(O73-O72)/O72</f>
        <v>0.0373443983402489</v>
      </c>
      <c r="Q73" s="10" t="n">
        <v>1.46</v>
      </c>
      <c r="R73" s="9" t="n">
        <f aca="false">(Q73-Q72)/Q72</f>
        <v>0.0977443609022556</v>
      </c>
      <c r="S73" s="10" t="n">
        <v>4.81</v>
      </c>
      <c r="T73" s="9" t="n">
        <f aca="false">(S73-S72)/S72</f>
        <v>0.041125541125541</v>
      </c>
      <c r="U73" s="13" t="n">
        <v>3.79</v>
      </c>
      <c r="V73" s="9" t="n">
        <f aca="false">(U73-U72)/U72</f>
        <v>0.0469613259668507</v>
      </c>
      <c r="W73" s="0" t="n">
        <v>1.1879</v>
      </c>
      <c r="X73" s="23" t="n">
        <f aca="false">(W73-W72)/W72</f>
        <v>-0.00134510298444729</v>
      </c>
      <c r="Y73" s="0" t="n">
        <v>1.54</v>
      </c>
      <c r="Z73" s="24" t="n">
        <f aca="false">(Y73-Y72)/Y72</f>
        <v>-0.00446053397116808</v>
      </c>
    </row>
    <row r="74" customFormat="false" ht="13.8" hidden="false" customHeight="false" outlineLevel="0" collapsed="false">
      <c r="A74" s="8" t="n">
        <v>38124</v>
      </c>
      <c r="B74" s="0" t="n">
        <v>94.74</v>
      </c>
      <c r="C74" s="9" t="n">
        <f aca="false">(B74-B73)/B73</f>
        <v>0.0132620320855614</v>
      </c>
      <c r="D74" s="0" t="n">
        <v>18.49</v>
      </c>
      <c r="E74" s="9" t="n">
        <f aca="false">(D74-D73)/D73</f>
        <v>0.00108283703302651</v>
      </c>
      <c r="F74" s="0" t="n">
        <v>109.81</v>
      </c>
      <c r="G74" s="9" t="n">
        <f aca="false">(F74-F73)/F73</f>
        <v>-0.00209014903671396</v>
      </c>
      <c r="H74" s="0" t="n">
        <f aca="false">AVERAGE(F60:F73)</f>
        <v>113.16</v>
      </c>
      <c r="I74" s="0" t="n">
        <f aca="false">AVERAGE(F67:F73)</f>
        <v>112.594285714286</v>
      </c>
      <c r="J74" s="0" t="n">
        <f aca="false">AVERAGE(F71:F73)</f>
        <v>110.32</v>
      </c>
      <c r="K74" s="10" t="n">
        <v>40.37</v>
      </c>
      <c r="L74" s="9" t="n">
        <f aca="false">(K74-K73)/K73</f>
        <v>0.0287971457696227</v>
      </c>
      <c r="M74" s="10" t="n">
        <v>37.62</v>
      </c>
      <c r="N74" s="9" t="n">
        <f aca="false">(M74-M73)/M73</f>
        <v>0.0340846619021439</v>
      </c>
      <c r="O74" s="0" t="n">
        <v>2.57</v>
      </c>
      <c r="P74" s="9" t="n">
        <f aca="false">(O74-O73)/O73</f>
        <v>0.0280000000000001</v>
      </c>
      <c r="Q74" s="10" t="n">
        <v>1.31</v>
      </c>
      <c r="R74" s="9" t="n">
        <f aca="false">(Q74-Q73)/Q73</f>
        <v>-0.102739726027397</v>
      </c>
      <c r="S74" s="10" t="n">
        <v>4.74</v>
      </c>
      <c r="T74" s="9" t="n">
        <f aca="false">(S74-S73)/S73</f>
        <v>-0.0145530145530144</v>
      </c>
      <c r="U74" s="13" t="n">
        <v>3.71</v>
      </c>
      <c r="V74" s="9" t="n">
        <f aca="false">(U74-U73)/U73</f>
        <v>-0.021108179419525</v>
      </c>
      <c r="W74" s="0" t="n">
        <v>1.201</v>
      </c>
      <c r="X74" s="23" t="n">
        <f aca="false">(W74-W73)/W73</f>
        <v>0.0110278642983417</v>
      </c>
      <c r="Y74" s="0" t="n">
        <v>1.537</v>
      </c>
      <c r="Z74" s="24" t="n">
        <f aca="false">(Y74-Y73)/Y73</f>
        <v>-0.00194805194805202</v>
      </c>
    </row>
    <row r="75" customFormat="false" ht="13.8" hidden="false" customHeight="false" outlineLevel="0" collapsed="false">
      <c r="A75" s="8" t="n">
        <v>38131</v>
      </c>
      <c r="B75" s="0" t="n">
        <v>96.95</v>
      </c>
      <c r="C75" s="9" t="n">
        <f aca="false">(B75-B74)/B74</f>
        <v>0.0233270002111042</v>
      </c>
      <c r="D75" s="0" t="n">
        <v>15.5</v>
      </c>
      <c r="E75" s="9" t="n">
        <f aca="false">(D75-D74)/D74</f>
        <v>-0.16170903190914</v>
      </c>
      <c r="F75" s="0" t="n">
        <v>112.86</v>
      </c>
      <c r="G75" s="9" t="n">
        <f aca="false">(F75-F74)/F74</f>
        <v>0.0277752481559056</v>
      </c>
      <c r="H75" s="0" t="n">
        <f aca="false">AVERAGE(F61:F74)</f>
        <v>112.78</v>
      </c>
      <c r="I75" s="0" t="n">
        <f aca="false">AVERAGE(F68:F74)</f>
        <v>111.904285714286</v>
      </c>
      <c r="J75" s="0" t="n">
        <f aca="false">AVERAGE(F72:F74)</f>
        <v>109.936666666667</v>
      </c>
      <c r="K75" s="10" t="n">
        <v>40.84</v>
      </c>
      <c r="L75" s="9" t="n">
        <f aca="false">(K75-K74)/K74</f>
        <v>0.0116423086450336</v>
      </c>
      <c r="M75" s="10" t="n">
        <v>38.43</v>
      </c>
      <c r="N75" s="9" t="n">
        <f aca="false">(M75-M74)/M74</f>
        <v>0.021531100478469</v>
      </c>
      <c r="O75" s="0" t="n">
        <v>2.58</v>
      </c>
      <c r="P75" s="9" t="n">
        <f aca="false">(O75-O74)/O74</f>
        <v>0.0038910505836575</v>
      </c>
      <c r="Q75" s="10" t="n">
        <v>1.25</v>
      </c>
      <c r="R75" s="9" t="n">
        <f aca="false">(Q75-Q74)/Q74</f>
        <v>-0.0458015267175573</v>
      </c>
      <c r="S75" s="10" t="n">
        <v>4.68</v>
      </c>
      <c r="T75" s="9" t="n">
        <f aca="false">(S75-S74)/S74</f>
        <v>-0.0126582278481014</v>
      </c>
      <c r="U75" s="13" t="n">
        <v>3.62</v>
      </c>
      <c r="V75" s="9" t="n">
        <f aca="false">(U75-U74)/U74</f>
        <v>-0.0242587601078168</v>
      </c>
      <c r="W75" s="0" t="n">
        <v>1.222</v>
      </c>
      <c r="X75" s="23" t="n">
        <f aca="false">(W75-W74)/W74</f>
        <v>0.0174854288093255</v>
      </c>
      <c r="Y75" s="0" t="n">
        <v>1.5297</v>
      </c>
      <c r="Z75" s="24" t="n">
        <f aca="false">(Y75-Y74)/Y74</f>
        <v>-0.00474951203643452</v>
      </c>
    </row>
    <row r="76" customFormat="false" ht="13.8" hidden="false" customHeight="false" outlineLevel="0" collapsed="false">
      <c r="A76" s="8" t="n">
        <v>38139</v>
      </c>
      <c r="B76" s="0" t="n">
        <v>96.94</v>
      </c>
      <c r="C76" s="9" t="n">
        <f aca="false">(B76-B75)/B75</f>
        <v>-0.000103145951521456</v>
      </c>
      <c r="D76" s="0" t="n">
        <v>16.78</v>
      </c>
      <c r="E76" s="9" t="n">
        <f aca="false">(D76-D75)/D75</f>
        <v>0.0825806451612904</v>
      </c>
      <c r="F76" s="0" t="n">
        <v>112.98</v>
      </c>
      <c r="G76" s="9" t="n">
        <f aca="false">(F76-F75)/F75</f>
        <v>0.001063264221159</v>
      </c>
      <c r="H76" s="0" t="n">
        <f aca="false">AVERAGE(F62:F75)</f>
        <v>112.635714285714</v>
      </c>
      <c r="I76" s="0" t="n">
        <f aca="false">AVERAGE(F69:F75)</f>
        <v>111.688571428571</v>
      </c>
      <c r="J76" s="0" t="n">
        <f aca="false">AVERAGE(F73:F75)</f>
        <v>110.903333333333</v>
      </c>
      <c r="K76" s="10" t="n">
        <v>40.65</v>
      </c>
      <c r="L76" s="9" t="n">
        <f aca="false">(K76-K75)/K75</f>
        <v>-0.0046523016650344</v>
      </c>
      <c r="M76" s="10" t="n">
        <v>37.95</v>
      </c>
      <c r="N76" s="9" t="n">
        <f aca="false">(M76-M75)/M75</f>
        <v>-0.0124902419984386</v>
      </c>
      <c r="O76" s="0" t="n">
        <v>2.61</v>
      </c>
      <c r="P76" s="9" t="n">
        <f aca="false">(O76-O75)/O75</f>
        <v>0.0116279069767443</v>
      </c>
      <c r="Q76" s="10" t="n">
        <v>1.3</v>
      </c>
      <c r="R76" s="9" t="n">
        <f aca="false">(Q76-Q75)/Q75</f>
        <v>0.04</v>
      </c>
      <c r="S76" s="10" t="n">
        <v>4.74</v>
      </c>
      <c r="T76" s="9" t="n">
        <f aca="false">(S76-S75)/S75</f>
        <v>0.0128205128205129</v>
      </c>
      <c r="U76" s="13" t="n">
        <v>3.58</v>
      </c>
      <c r="V76" s="9" t="n">
        <f aca="false">(U76-U75)/U75</f>
        <v>-0.011049723756906</v>
      </c>
      <c r="W76" s="0" t="n">
        <v>1.229</v>
      </c>
      <c r="X76" s="23" t="n">
        <f aca="false">(W76-W75)/W75</f>
        <v>0.00572831423895263</v>
      </c>
      <c r="Y76" s="0" t="n">
        <v>1.5222</v>
      </c>
      <c r="Z76" s="24" t="n">
        <f aca="false">(Y76-Y75)/Y75</f>
        <v>-0.00490292214159643</v>
      </c>
    </row>
    <row r="77" customFormat="false" ht="13.8" hidden="false" customHeight="false" outlineLevel="0" collapsed="false">
      <c r="A77" s="8" t="n">
        <v>38145</v>
      </c>
      <c r="B77" s="0" t="n">
        <v>97.75</v>
      </c>
      <c r="C77" s="9" t="n">
        <f aca="false">(B77-B76)/B76</f>
        <v>0.00835568392820304</v>
      </c>
      <c r="D77" s="0" t="n">
        <v>15.04</v>
      </c>
      <c r="E77" s="9" t="n">
        <f aca="false">(D77-D76)/D76</f>
        <v>-0.103694874851013</v>
      </c>
      <c r="F77" s="0" t="n">
        <v>114.35</v>
      </c>
      <c r="G77" s="9" t="n">
        <f aca="false">(F77-F76)/F76</f>
        <v>0.0121260400070808</v>
      </c>
      <c r="H77" s="0" t="n">
        <f aca="false">AVERAGE(F63:F76)</f>
        <v>112.49</v>
      </c>
      <c r="I77" s="0" t="n">
        <f aca="false">AVERAGE(F70:F76)</f>
        <v>111.567142857143</v>
      </c>
      <c r="J77" s="0" t="n">
        <f aca="false">AVERAGE(F74:F76)</f>
        <v>111.883333333333</v>
      </c>
      <c r="K77" s="10" t="n">
        <v>40.01</v>
      </c>
      <c r="L77" s="9" t="n">
        <f aca="false">(K77-K76)/K76</f>
        <v>-0.0157441574415744</v>
      </c>
      <c r="M77" s="10" t="n">
        <v>37.25</v>
      </c>
      <c r="N77" s="9" t="n">
        <f aca="false">(M77-M76)/M76</f>
        <v>-0.018445322793149</v>
      </c>
      <c r="O77" s="0" t="n">
        <v>2.55</v>
      </c>
      <c r="P77" s="9" t="n">
        <f aca="false">(O77-O76)/O76</f>
        <v>-0.0229885057471266</v>
      </c>
      <c r="Q77" s="10" t="n">
        <v>1.43</v>
      </c>
      <c r="R77" s="9" t="n">
        <f aca="false">(Q77-Q76)/Q76</f>
        <v>0.0999999999999999</v>
      </c>
      <c r="S77" s="10" t="n">
        <v>4.8</v>
      </c>
      <c r="T77" s="9" t="n">
        <f aca="false">(S77-S76)/S76</f>
        <v>0.0126582278481012</v>
      </c>
      <c r="U77" s="13" t="n">
        <v>3.55</v>
      </c>
      <c r="V77" s="9" t="n">
        <f aca="false">(U77-U76)/U76</f>
        <v>-0.00837988826815649</v>
      </c>
      <c r="W77" s="0" t="n">
        <v>1.2015</v>
      </c>
      <c r="X77" s="23" t="n">
        <f aca="false">(W77-W76)/W76</f>
        <v>-0.0223759153783564</v>
      </c>
      <c r="Y77" s="0" t="n">
        <v>1.513</v>
      </c>
      <c r="Z77" s="24" t="n">
        <f aca="false">(Y77-Y76)/Y76</f>
        <v>-0.00604388385231908</v>
      </c>
    </row>
    <row r="78" customFormat="false" ht="13.8" hidden="false" customHeight="false" outlineLevel="0" collapsed="false">
      <c r="A78" s="8" t="n">
        <v>38152</v>
      </c>
      <c r="B78" s="0" t="n">
        <v>97.21</v>
      </c>
      <c r="C78" s="9" t="n">
        <f aca="false">(B78-B77)/B77</f>
        <v>-0.00552429667519188</v>
      </c>
      <c r="D78" s="0" t="n">
        <v>14.99</v>
      </c>
      <c r="E78" s="9" t="n">
        <f aca="false">(D78-D77)/D77</f>
        <v>-0.00332446808510631</v>
      </c>
      <c r="F78" s="0" t="n">
        <v>113.63</v>
      </c>
      <c r="G78" s="9" t="n">
        <f aca="false">(F78-F77)/F77</f>
        <v>-0.00629645824223873</v>
      </c>
      <c r="H78" s="0" t="n">
        <f aca="false">AVERAGE(F64:F77)</f>
        <v>112.345</v>
      </c>
      <c r="I78" s="0" t="n">
        <f aca="false">AVERAGE(F71:F77)</f>
        <v>111.565714285714</v>
      </c>
      <c r="J78" s="0" t="n">
        <f aca="false">AVERAGE(F75:F77)</f>
        <v>113.396666666667</v>
      </c>
      <c r="K78" s="10" t="n">
        <v>37.99</v>
      </c>
      <c r="L78" s="9" t="n">
        <f aca="false">(K78-K77)/K77</f>
        <v>-0.050487378155461</v>
      </c>
      <c r="M78" s="10" t="n">
        <v>35.34</v>
      </c>
      <c r="N78" s="9" t="n">
        <f aca="false">(M78-M77)/M77</f>
        <v>-0.0512751677852348</v>
      </c>
      <c r="O78" s="0" t="n">
        <v>2.53</v>
      </c>
      <c r="P78" s="9" t="n">
        <f aca="false">(O78-O77)/O77</f>
        <v>-0.00784313725490179</v>
      </c>
      <c r="Q78" s="10" t="n">
        <v>1.44</v>
      </c>
      <c r="R78" s="9" t="n">
        <f aca="false">(Q78-Q77)/Q77</f>
        <v>0.006993006993007</v>
      </c>
      <c r="S78" s="10" t="n">
        <v>4.75</v>
      </c>
      <c r="T78" s="9" t="n">
        <f aca="false">(S78-S77)/S77</f>
        <v>-0.0104166666666666</v>
      </c>
      <c r="U78" s="13" t="n">
        <v>3.45</v>
      </c>
      <c r="V78" s="9" t="n">
        <f aca="false">(U78-U77)/U77</f>
        <v>-0.0281690140845069</v>
      </c>
      <c r="W78" s="0" t="n">
        <v>1.214</v>
      </c>
      <c r="X78" s="23" t="n">
        <f aca="false">(W78-W77)/W77</f>
        <v>0.0104036620890553</v>
      </c>
      <c r="Y78" s="0" t="n">
        <v>1.5115</v>
      </c>
      <c r="Z78" s="24" t="n">
        <f aca="false">(Y78-Y77)/Y77</f>
        <v>-0.000991407799074577</v>
      </c>
    </row>
    <row r="79" customFormat="false" ht="13.8" hidden="false" customHeight="false" outlineLevel="0" collapsed="false">
      <c r="A79" s="8" t="n">
        <v>38159</v>
      </c>
      <c r="B79" s="0" t="n">
        <v>96.74</v>
      </c>
      <c r="C79" s="9" t="n">
        <f aca="false">(B79-B78)/B78</f>
        <v>-0.00483489352947227</v>
      </c>
      <c r="D79" s="0" t="n">
        <v>15.19</v>
      </c>
      <c r="E79" s="9" t="n">
        <f aca="false">(D79-D78)/D78</f>
        <v>0.0133422281521014</v>
      </c>
      <c r="F79" s="0" t="n">
        <v>113.84</v>
      </c>
      <c r="G79" s="9" t="n">
        <f aca="false">(F79-F78)/F78</f>
        <v>0.00184810349379572</v>
      </c>
      <c r="H79" s="0" t="n">
        <f aca="false">AVERAGE(F65:F78)</f>
        <v>112.42</v>
      </c>
      <c r="I79" s="0" t="n">
        <f aca="false">AVERAGE(F72:F78)</f>
        <v>111.947142857143</v>
      </c>
      <c r="J79" s="0" t="n">
        <f aca="false">AVERAGE(F76:F78)</f>
        <v>113.653333333333</v>
      </c>
      <c r="K79" s="10" t="n">
        <v>37.86</v>
      </c>
      <c r="L79" s="9" t="n">
        <f aca="false">(K79-K78)/K78</f>
        <v>-0.00342195314556469</v>
      </c>
      <c r="M79" s="10" t="n">
        <v>35.09</v>
      </c>
      <c r="N79" s="9" t="n">
        <f aca="false">(M79-M78)/M78</f>
        <v>-0.00707413695529145</v>
      </c>
      <c r="O79" s="0" t="n">
        <v>2.48</v>
      </c>
      <c r="P79" s="9" t="n">
        <f aca="false">(O79-O78)/O78</f>
        <v>-0.0197628458498023</v>
      </c>
      <c r="Q79" s="10" t="n">
        <v>1.41</v>
      </c>
      <c r="R79" s="9" t="n">
        <f aca="false">(Q79-Q78)/Q78</f>
        <v>-0.0208333333333332</v>
      </c>
      <c r="S79" s="10" t="n">
        <v>4.69</v>
      </c>
      <c r="T79" s="9" t="n">
        <f aca="false">(S79-S78)/S78</f>
        <v>-0.0126315789473683</v>
      </c>
      <c r="U79" s="13" t="n">
        <v>3.4</v>
      </c>
      <c r="V79" s="9" t="n">
        <f aca="false">(U79-U78)/U78</f>
        <v>-0.0144927536231884</v>
      </c>
      <c r="W79" s="0" t="n">
        <v>1.215</v>
      </c>
      <c r="X79" s="23" t="n">
        <f aca="false">(W79-W78)/W78</f>
        <v>0.00082372322899515</v>
      </c>
      <c r="Y79" s="0" t="n">
        <v>1.5195</v>
      </c>
      <c r="Z79" s="24" t="n">
        <f aca="false">(Y79-Y78)/Y78</f>
        <v>0.00529275554085346</v>
      </c>
    </row>
    <row r="80" customFormat="false" ht="13.8" hidden="false" customHeight="false" outlineLevel="0" collapsed="false">
      <c r="A80" s="8" t="n">
        <v>38166</v>
      </c>
      <c r="B80" s="0" t="n">
        <v>96.07</v>
      </c>
      <c r="C80" s="9" t="n">
        <f aca="false">(B80-B79)/B79</f>
        <v>-0.00692578044242301</v>
      </c>
      <c r="D80" s="0" t="n">
        <v>15.08</v>
      </c>
      <c r="E80" s="9" t="n">
        <f aca="false">(D80-D79)/D79</f>
        <v>-0.0072416063199473</v>
      </c>
      <c r="F80" s="0" t="n">
        <v>112.88</v>
      </c>
      <c r="G80" s="9" t="n">
        <f aca="false">(F80-F79)/F79</f>
        <v>-0.00843288826423057</v>
      </c>
      <c r="H80" s="0" t="n">
        <f aca="false">AVERAGE(F66:F79)</f>
        <v>112.618571428571</v>
      </c>
      <c r="I80" s="0" t="n">
        <f aca="false">AVERAGE(F73:F79)</f>
        <v>112.501428571429</v>
      </c>
      <c r="J80" s="0" t="n">
        <f aca="false">AVERAGE(F77:F79)</f>
        <v>113.94</v>
      </c>
      <c r="K80" s="10" t="n">
        <v>37.7</v>
      </c>
      <c r="L80" s="9" t="n">
        <f aca="false">(K80-K79)/K79</f>
        <v>-0.00422609614368718</v>
      </c>
      <c r="M80" s="10" t="n">
        <v>34.71</v>
      </c>
      <c r="N80" s="9" t="n">
        <f aca="false">(M80-M79)/M79</f>
        <v>-0.0108292960957538</v>
      </c>
      <c r="O80" s="0" t="n">
        <v>2.43</v>
      </c>
      <c r="P80" s="9" t="n">
        <f aca="false">(O80-O79)/O79</f>
        <v>-0.0201612903225807</v>
      </c>
      <c r="Q80" s="10" t="n">
        <v>1.38</v>
      </c>
      <c r="R80" s="9" t="n">
        <f aca="false">(Q80-Q79)/Q79</f>
        <v>-0.021276595744681</v>
      </c>
      <c r="S80" s="10" t="n">
        <v>4.63</v>
      </c>
      <c r="T80" s="9" t="n">
        <f aca="false">(S80-S79)/S79</f>
        <v>-0.0127931769722816</v>
      </c>
      <c r="U80" s="13" t="n">
        <v>3.33</v>
      </c>
      <c r="V80" s="9" t="n">
        <f aca="false">(U80-U79)/U79</f>
        <v>-0.0205882352941177</v>
      </c>
      <c r="W80" s="0" t="n">
        <v>1.2323</v>
      </c>
      <c r="X80" s="23" t="n">
        <f aca="false">(W80-W79)/W79</f>
        <v>0.0142386831275719</v>
      </c>
      <c r="Y80" s="0" t="n">
        <v>1.5172</v>
      </c>
      <c r="Z80" s="24" t="n">
        <f aca="false">(Y80-Y79)/Y79</f>
        <v>-0.0015136558078315</v>
      </c>
    </row>
    <row r="81" customFormat="false" ht="13.8" hidden="false" customHeight="false" outlineLevel="0" collapsed="false">
      <c r="A81" s="8" t="n">
        <v>38174</v>
      </c>
      <c r="B81" s="0" t="n">
        <v>94.73</v>
      </c>
      <c r="C81" s="9" t="n">
        <f aca="false">(B81-B80)/B80</f>
        <v>-0.0139481627979597</v>
      </c>
      <c r="D81" s="0" t="n">
        <v>15.78</v>
      </c>
      <c r="E81" s="9" t="n">
        <f aca="false">(D81-D80)/D80</f>
        <v>0.046419098143236</v>
      </c>
      <c r="F81" s="0" t="n">
        <v>111.73</v>
      </c>
      <c r="G81" s="9" t="n">
        <f aca="false">(F81-F80)/F80</f>
        <v>-0.0101878100637845</v>
      </c>
      <c r="H81" s="0" t="n">
        <f aca="false">AVERAGE(F67:F80)</f>
        <v>112.750714285714</v>
      </c>
      <c r="I81" s="0" t="n">
        <f aca="false">AVERAGE(F74:F80)</f>
        <v>112.907142857143</v>
      </c>
      <c r="J81" s="0" t="n">
        <f aca="false">AVERAGE(F78:F80)</f>
        <v>113.45</v>
      </c>
      <c r="K81" s="10" t="n">
        <v>37.14</v>
      </c>
      <c r="L81" s="9" t="n">
        <f aca="false">(K81-K80)/K80</f>
        <v>-0.0148541114058356</v>
      </c>
      <c r="M81" s="10" t="n">
        <v>34</v>
      </c>
      <c r="N81" s="9" t="n">
        <f aca="false">(M81-M80)/M80</f>
        <v>-0.0204552002304812</v>
      </c>
      <c r="O81" s="0" t="n">
        <v>2.42</v>
      </c>
      <c r="P81" s="9" t="n">
        <f aca="false">(O81-O80)/O80</f>
        <v>-0.00411522633744865</v>
      </c>
      <c r="Q81" s="10" t="n">
        <v>1.23</v>
      </c>
      <c r="R81" s="9" t="n">
        <f aca="false">(Q81-Q80)/Q80</f>
        <v>-0.108695652173913</v>
      </c>
      <c r="S81" s="10" t="n">
        <v>4.49</v>
      </c>
      <c r="T81" s="9" t="n">
        <f aca="false">(S81-S80)/S80</f>
        <v>-0.0302375809935204</v>
      </c>
      <c r="U81" s="13" t="n">
        <v>3.21</v>
      </c>
      <c r="V81" s="9" t="n">
        <f aca="false">(U81-U80)/U80</f>
        <v>-0.0360360360360361</v>
      </c>
      <c r="W81" s="0" t="n">
        <v>1.2415</v>
      </c>
      <c r="X81" s="23" t="n">
        <f aca="false">(W81-W80)/W80</f>
        <v>0.00746571451756885</v>
      </c>
      <c r="Y81" s="0" t="n">
        <v>1.5185</v>
      </c>
      <c r="Z81" s="24" t="n">
        <f aca="false">(Y81-Y80)/Y80</f>
        <v>0.000856841550224003</v>
      </c>
    </row>
    <row r="82" customFormat="false" ht="13.8" hidden="false" customHeight="false" outlineLevel="0" collapsed="false">
      <c r="A82" s="8" t="n">
        <v>38180</v>
      </c>
      <c r="B82" s="0" t="n">
        <v>93.94</v>
      </c>
      <c r="C82" s="9" t="n">
        <f aca="false">(B82-B81)/B81</f>
        <v>-0.00833949118547457</v>
      </c>
      <c r="D82" s="0" t="n">
        <v>14.34</v>
      </c>
      <c r="E82" s="9" t="n">
        <f aca="false">(D82-D81)/D81</f>
        <v>-0.091254752851711</v>
      </c>
      <c r="F82" s="0" t="n">
        <v>110.71</v>
      </c>
      <c r="G82" s="9" t="n">
        <f aca="false">(F82-F81)/F81</f>
        <v>-0.0091291506309855</v>
      </c>
      <c r="H82" s="0" t="n">
        <f aca="false">AVERAGE(F68:F81)</f>
        <v>112.542857142857</v>
      </c>
      <c r="I82" s="0" t="n">
        <f aca="false">AVERAGE(F75:F81)</f>
        <v>113.181428571429</v>
      </c>
      <c r="J82" s="0" t="n">
        <f aca="false">AVERAGE(F79:F81)</f>
        <v>112.816666666667</v>
      </c>
      <c r="K82" s="10" t="n">
        <v>39.73</v>
      </c>
      <c r="L82" s="9" t="n">
        <f aca="false">(K82-K81)/K81</f>
        <v>0.0697361335487344</v>
      </c>
      <c r="M82" s="10" t="n">
        <v>36.51</v>
      </c>
      <c r="N82" s="9" t="n">
        <f aca="false">(M82-M81)/M81</f>
        <v>0.0738235294117647</v>
      </c>
      <c r="O82" s="0" t="n">
        <v>2.39</v>
      </c>
      <c r="P82" s="9" t="n">
        <f aca="false">(O82-O81)/O81</f>
        <v>-0.012396694214876</v>
      </c>
      <c r="Q82" s="10" t="n">
        <v>1.25</v>
      </c>
      <c r="R82" s="9" t="n">
        <f aca="false">(Q82-Q81)/Q81</f>
        <v>0.016260162601626</v>
      </c>
      <c r="S82" s="10" t="n">
        <v>4.47</v>
      </c>
      <c r="T82" s="9" t="n">
        <f aca="false">(S82-S81)/S81</f>
        <v>-0.0044543429844099</v>
      </c>
      <c r="U82" s="13" t="n">
        <v>3.15</v>
      </c>
      <c r="V82" s="9" t="n">
        <f aca="false">(U82-U81)/U81</f>
        <v>-0.0186915887850469</v>
      </c>
      <c r="W82" s="0" t="n">
        <v>1.2448</v>
      </c>
      <c r="X82" s="23" t="n">
        <f aca="false">(W82-W81)/W81</f>
        <v>0.0026580749093837</v>
      </c>
      <c r="Y82" s="0" t="n">
        <v>1.5241</v>
      </c>
      <c r="Z82" s="24" t="n">
        <f aca="false">(Y82-Y81)/Y81</f>
        <v>0.00368784985182749</v>
      </c>
    </row>
    <row r="83" customFormat="false" ht="13.8" hidden="false" customHeight="false" outlineLevel="0" collapsed="false">
      <c r="A83" s="8" t="n">
        <v>38187</v>
      </c>
      <c r="B83" s="0" t="n">
        <v>94.31</v>
      </c>
      <c r="C83" s="9" t="n">
        <f aca="false">(B83-B82)/B82</f>
        <v>0.00393868426655317</v>
      </c>
      <c r="D83" s="0" t="n">
        <v>16.5</v>
      </c>
      <c r="E83" s="9" t="n">
        <f aca="false">(D83-D82)/D82</f>
        <v>0.150627615062762</v>
      </c>
      <c r="F83" s="0" t="n">
        <v>108.96</v>
      </c>
      <c r="G83" s="9" t="n">
        <f aca="false">(F83-F82)/F82</f>
        <v>-0.0158070634992322</v>
      </c>
      <c r="H83" s="0" t="n">
        <f aca="false">AVERAGE(F69:F82)</f>
        <v>112.281428571429</v>
      </c>
      <c r="I83" s="0" t="n">
        <f aca="false">AVERAGE(F76:F82)</f>
        <v>112.874285714286</v>
      </c>
      <c r="J83" s="0" t="n">
        <f aca="false">AVERAGE(F80:F82)</f>
        <v>111.773333333333</v>
      </c>
      <c r="K83" s="10" t="n">
        <v>40.33</v>
      </c>
      <c r="L83" s="9" t="n">
        <f aca="false">(K83-K82)/K82</f>
        <v>0.0151019380820539</v>
      </c>
      <c r="M83" s="10" t="n">
        <v>37.76</v>
      </c>
      <c r="N83" s="9" t="n">
        <f aca="false">(M83-M82)/M82</f>
        <v>0.0342371952889619</v>
      </c>
      <c r="O83" s="0" t="n">
        <v>2.36</v>
      </c>
      <c r="P83" s="9" t="n">
        <f aca="false">(O83-O82)/O82</f>
        <v>-0.0125523012552302</v>
      </c>
      <c r="Q83" s="10" t="n">
        <v>1.31</v>
      </c>
      <c r="R83" s="9" t="n">
        <f aca="false">(Q83-Q82)/Q82</f>
        <v>0.048</v>
      </c>
      <c r="S83" s="10" t="n">
        <v>4.46</v>
      </c>
      <c r="T83" s="9" t="n">
        <f aca="false">(S83-S82)/S82</f>
        <v>-0.00223713646532434</v>
      </c>
      <c r="U83" s="13" t="n">
        <v>3.12</v>
      </c>
      <c r="V83" s="9" t="n">
        <f aca="false">(U83-U82)/U82</f>
        <v>-0.00952380952380932</v>
      </c>
      <c r="W83" s="0" t="n">
        <v>1.2099</v>
      </c>
      <c r="X83" s="23" t="n">
        <f aca="false">(W83-W82)/W82</f>
        <v>-0.0280366323907454</v>
      </c>
      <c r="Y83" s="0" t="n">
        <v>1.5334</v>
      </c>
      <c r="Z83" s="24" t="n">
        <f aca="false">(Y83-Y82)/Y82</f>
        <v>0.00610196181352935</v>
      </c>
    </row>
    <row r="84" customFormat="false" ht="13.8" hidden="false" customHeight="false" outlineLevel="0" collapsed="false">
      <c r="A84" s="8" t="n">
        <v>38194</v>
      </c>
      <c r="B84" s="0" t="n">
        <v>94.86</v>
      </c>
      <c r="C84" s="9" t="n">
        <f aca="false">(B84-B83)/B83</f>
        <v>0.0058318311949952</v>
      </c>
      <c r="D84" s="0" t="n">
        <v>15.32</v>
      </c>
      <c r="E84" s="9" t="n">
        <f aca="false">(D84-D83)/D83</f>
        <v>-0.0715151515151515</v>
      </c>
      <c r="F84" s="0" t="n">
        <v>110.84</v>
      </c>
      <c r="G84" s="9" t="n">
        <f aca="false">(F84-F83)/F83</f>
        <v>0.0172540381791484</v>
      </c>
      <c r="H84" s="0" t="n">
        <f aca="false">AVERAGE(F70:F83)</f>
        <v>111.933571428571</v>
      </c>
      <c r="I84" s="0" t="n">
        <f aca="false">AVERAGE(F77:F83)</f>
        <v>112.3</v>
      </c>
      <c r="J84" s="0" t="n">
        <f aca="false">AVERAGE(F81:F83)</f>
        <v>110.466666666667</v>
      </c>
      <c r="K84" s="10" t="n">
        <v>41.27</v>
      </c>
      <c r="L84" s="9" t="n">
        <f aca="false">(K84-K83)/K83</f>
        <v>0.023307711381106</v>
      </c>
      <c r="M84" s="10" t="n">
        <v>39.05</v>
      </c>
      <c r="N84" s="9" t="n">
        <f aca="false">(M84-M83)/M83</f>
        <v>0.0341631355932203</v>
      </c>
      <c r="O84" s="0" t="n">
        <v>2.39</v>
      </c>
      <c r="P84" s="9" t="n">
        <f aca="false">(O84-O83)/O83</f>
        <v>0.0127118644067796</v>
      </c>
      <c r="Q84" s="10" t="n">
        <v>1.39</v>
      </c>
      <c r="R84" s="9" t="n">
        <f aca="false">(Q84-Q83)/Q83</f>
        <v>0.0610687022900764</v>
      </c>
      <c r="S84" s="10" t="n">
        <v>4.56</v>
      </c>
      <c r="T84" s="9" t="n">
        <f aca="false">(S84-S83)/S83</f>
        <v>0.022421524663677</v>
      </c>
      <c r="U84" s="13" t="n">
        <v>3.13</v>
      </c>
      <c r="V84" s="9" t="n">
        <f aca="false">(U84-U83)/U83</f>
        <v>0.00320512820512814</v>
      </c>
      <c r="W84" s="0" t="n">
        <v>1.2017</v>
      </c>
      <c r="X84" s="23" t="n">
        <f aca="false">(W84-W83)/W83</f>
        <v>-0.00677741962145631</v>
      </c>
      <c r="Y84" s="0" t="n">
        <v>1.5407</v>
      </c>
      <c r="Z84" s="24" t="n">
        <f aca="false">(Y84-Y83)/Y83</f>
        <v>0.00476066257988789</v>
      </c>
    </row>
    <row r="85" customFormat="false" ht="13.8" hidden="false" customHeight="false" outlineLevel="0" collapsed="false">
      <c r="A85" s="8" t="n">
        <v>38201</v>
      </c>
      <c r="B85" s="0" t="n">
        <v>93.02</v>
      </c>
      <c r="C85" s="9" t="n">
        <f aca="false">(B85-B84)/B84</f>
        <v>-0.0193970061142737</v>
      </c>
      <c r="D85" s="0" t="n">
        <v>19.34</v>
      </c>
      <c r="E85" s="9" t="n">
        <f aca="false">(D85-D84)/D84</f>
        <v>0.262402088772846</v>
      </c>
      <c r="F85" s="0" t="n">
        <v>106.85</v>
      </c>
      <c r="G85" s="9" t="n">
        <f aca="false">(F85-F84)/F84</f>
        <v>-0.0359978347167088</v>
      </c>
      <c r="H85" s="0" t="n">
        <f aca="false">AVERAGE(F71:F84)</f>
        <v>111.682142857143</v>
      </c>
      <c r="I85" s="0" t="n">
        <f aca="false">AVERAGE(F78:F84)</f>
        <v>111.798571428571</v>
      </c>
      <c r="J85" s="0" t="n">
        <f aca="false">AVERAGE(F82:F84)</f>
        <v>110.17</v>
      </c>
      <c r="K85" s="10" t="n">
        <v>42.5</v>
      </c>
      <c r="L85" s="9" t="n">
        <f aca="false">(K85-K84)/K84</f>
        <v>0.0298037315241094</v>
      </c>
      <c r="M85" s="10" t="n">
        <v>40.66</v>
      </c>
      <c r="N85" s="9" t="n">
        <f aca="false">(M85-M84)/M84</f>
        <v>0.0412291933418694</v>
      </c>
      <c r="O85" s="0" t="n">
        <v>2.4</v>
      </c>
      <c r="P85" s="9" t="n">
        <f aca="false">(O85-O84)/O84</f>
        <v>0.00418410041841014</v>
      </c>
      <c r="Q85" s="10" t="n">
        <v>1.21</v>
      </c>
      <c r="R85" s="9" t="n">
        <f aca="false">(Q85-Q84)/Q84</f>
        <v>-0.129496402877698</v>
      </c>
      <c r="S85" s="10" t="n">
        <v>4.41</v>
      </c>
      <c r="T85" s="9" t="n">
        <f aca="false">(S85-S84)/S84</f>
        <v>-0.0328947368421051</v>
      </c>
      <c r="U85" s="13" t="n">
        <v>2.96</v>
      </c>
      <c r="V85" s="9" t="n">
        <f aca="false">(U85-U84)/U84</f>
        <v>-0.0543130990415335</v>
      </c>
      <c r="W85" s="0" t="n">
        <v>1.2274</v>
      </c>
      <c r="X85" s="23" t="n">
        <f aca="false">(W85-W84)/W84</f>
        <v>0.021386369310144</v>
      </c>
      <c r="Y85" s="0" t="n">
        <v>1.5359</v>
      </c>
      <c r="Z85" s="24" t="n">
        <f aca="false">(Y85-Y84)/Y84</f>
        <v>-0.00311546699552161</v>
      </c>
    </row>
    <row r="86" customFormat="false" ht="13.8" hidden="false" customHeight="false" outlineLevel="0" collapsed="false">
      <c r="A86" s="8" t="n">
        <v>38208</v>
      </c>
      <c r="B86" s="0" t="n">
        <v>94.29</v>
      </c>
      <c r="C86" s="9" t="n">
        <f aca="false">(B86-B85)/B85</f>
        <v>0.013652977854225</v>
      </c>
      <c r="D86" s="0" t="n">
        <v>17.98</v>
      </c>
      <c r="E86" s="9" t="n">
        <f aca="false">(D86-D85)/D85</f>
        <v>-0.0703205791106515</v>
      </c>
      <c r="F86" s="0" t="n">
        <v>107.19</v>
      </c>
      <c r="G86" s="9" t="n">
        <f aca="false">(F86-F85)/F85</f>
        <v>0.00318203088441744</v>
      </c>
      <c r="H86" s="0" t="n">
        <f aca="false">AVERAGE(F72:F85)</f>
        <v>111.388571428571</v>
      </c>
      <c r="I86" s="0" t="n">
        <f aca="false">AVERAGE(F79:F85)</f>
        <v>110.83</v>
      </c>
      <c r="J86" s="0" t="n">
        <f aca="false">AVERAGE(F83:F85)</f>
        <v>108.883333333333</v>
      </c>
      <c r="K86" s="10" t="n">
        <v>43.81</v>
      </c>
      <c r="L86" s="9" t="n">
        <f aca="false">(K86-K85)/K85</f>
        <v>0.0308235294117648</v>
      </c>
      <c r="M86" s="10" t="n">
        <v>42.01</v>
      </c>
      <c r="N86" s="9" t="n">
        <f aca="false">(M86-M85)/M85</f>
        <v>0.0332021642892278</v>
      </c>
      <c r="O86" s="0" t="n">
        <v>2.38</v>
      </c>
      <c r="P86" s="9" t="n">
        <f aca="false">(O86-O85)/O85</f>
        <v>-0.00833333333333334</v>
      </c>
      <c r="Q86" s="10" t="n">
        <v>1.09</v>
      </c>
      <c r="R86" s="9" t="n">
        <f aca="false">(Q86-Q85)/Q85</f>
        <v>-0.0991735537190082</v>
      </c>
      <c r="S86" s="10" t="n">
        <v>4.28</v>
      </c>
      <c r="T86" s="9" t="n">
        <f aca="false">(S86-S85)/S85</f>
        <v>-0.0294784580498866</v>
      </c>
      <c r="U86" s="13" t="n">
        <v>2.84</v>
      </c>
      <c r="V86" s="9" t="n">
        <f aca="false">(U86-U85)/U85</f>
        <v>-0.0405405405405404</v>
      </c>
      <c r="W86" s="0" t="n">
        <v>1.237</v>
      </c>
      <c r="X86" s="23" t="n">
        <f aca="false">(W86-W85)/W85</f>
        <v>0.00782141111292167</v>
      </c>
      <c r="Y86" s="0" t="n">
        <v>1.5323</v>
      </c>
      <c r="Z86" s="24" t="n">
        <f aca="false">(Y86-Y85)/Y85</f>
        <v>-0.00234390259782541</v>
      </c>
    </row>
    <row r="87" customFormat="false" ht="13.8" hidden="false" customHeight="false" outlineLevel="0" collapsed="false">
      <c r="A87" s="8" t="n">
        <v>38215</v>
      </c>
      <c r="B87" s="0" t="n">
        <v>97.66</v>
      </c>
      <c r="C87" s="9" t="n">
        <f aca="false">(B87-B86)/B86</f>
        <v>0.0357407996606214</v>
      </c>
      <c r="D87" s="0" t="n">
        <v>16</v>
      </c>
      <c r="E87" s="9" t="n">
        <f aca="false">(D87-D86)/D86</f>
        <v>-0.110122358175751</v>
      </c>
      <c r="F87" s="0" t="n">
        <v>110.48</v>
      </c>
      <c r="G87" s="9" t="n">
        <f aca="false">(F87-F86)/F86</f>
        <v>0.0306931616755295</v>
      </c>
      <c r="H87" s="0" t="n">
        <f aca="false">AVERAGE(F73:F86)</f>
        <v>111.190714285714</v>
      </c>
      <c r="I87" s="0" t="n">
        <f aca="false">AVERAGE(F80:F86)</f>
        <v>109.88</v>
      </c>
      <c r="J87" s="0" t="n">
        <f aca="false">AVERAGE(F84:F86)</f>
        <v>108.293333333333</v>
      </c>
      <c r="K87" s="10" t="n">
        <v>45.24</v>
      </c>
      <c r="L87" s="9" t="n">
        <f aca="false">(K87-K86)/K86</f>
        <v>0.0326409495548961</v>
      </c>
      <c r="M87" s="10" t="n">
        <v>43.16</v>
      </c>
      <c r="N87" s="9" t="n">
        <f aca="false">(M87-M86)/M86</f>
        <v>0.0273744346584146</v>
      </c>
      <c r="O87" s="0" t="n">
        <v>2.36</v>
      </c>
      <c r="P87" s="9" t="n">
        <f aca="false">(O87-O86)/O86</f>
        <v>-0.00840336134453764</v>
      </c>
      <c r="Q87" s="10" t="n">
        <v>1.05</v>
      </c>
      <c r="R87" s="9" t="n">
        <f aca="false">(Q87-Q86)/Q86</f>
        <v>-0.036697247706422</v>
      </c>
      <c r="S87" s="10" t="n">
        <v>4.23</v>
      </c>
      <c r="T87" s="9" t="n">
        <f aca="false">(S87-S86)/S86</f>
        <v>-0.0116822429906542</v>
      </c>
      <c r="U87" s="13" t="n">
        <v>2.77</v>
      </c>
      <c r="V87" s="9" t="n">
        <f aca="false">(U87-U86)/U86</f>
        <v>-0.0246478873239436</v>
      </c>
      <c r="W87" s="0" t="n">
        <v>1.2309</v>
      </c>
      <c r="X87" s="23" t="n">
        <f aca="false">(W87-W86)/W86</f>
        <v>-0.00493128536782538</v>
      </c>
      <c r="Y87" s="0" t="n">
        <v>1.5407</v>
      </c>
      <c r="Z87" s="24" t="n">
        <f aca="false">(Y87-Y86)/Y86</f>
        <v>0.00548195523069907</v>
      </c>
    </row>
    <row r="88" customFormat="false" ht="13.8" hidden="false" customHeight="false" outlineLevel="0" collapsed="false">
      <c r="A88" s="8" t="n">
        <v>38222</v>
      </c>
      <c r="B88" s="0" t="n">
        <v>98.97</v>
      </c>
      <c r="C88" s="9" t="n">
        <f aca="false">(B88-B87)/B87</f>
        <v>0.0134138849068196</v>
      </c>
      <c r="D88" s="0" t="n">
        <v>14.71</v>
      </c>
      <c r="E88" s="9" t="n">
        <f aca="false">(D88-D87)/D87</f>
        <v>-0.080625</v>
      </c>
      <c r="F88" s="0" t="n">
        <v>111.45</v>
      </c>
      <c r="G88" s="9" t="n">
        <f aca="false">(F88-F87)/F87</f>
        <v>0.0087798696596669</v>
      </c>
      <c r="H88" s="0" t="n">
        <f aca="false">AVERAGE(F74:F87)</f>
        <v>111.222142857143</v>
      </c>
      <c r="I88" s="0" t="n">
        <f aca="false">AVERAGE(F81:F87)</f>
        <v>109.537142857143</v>
      </c>
      <c r="J88" s="0" t="n">
        <f aca="false">AVERAGE(F85:F87)</f>
        <v>108.173333333333</v>
      </c>
      <c r="K88" s="10" t="n">
        <v>47.28</v>
      </c>
      <c r="L88" s="9" t="n">
        <f aca="false">(K88-K87)/K87</f>
        <v>0.0450928381962865</v>
      </c>
      <c r="M88" s="10" t="n">
        <v>44.56</v>
      </c>
      <c r="N88" s="9" t="n">
        <f aca="false">(M88-M87)/M87</f>
        <v>0.0324374420759964</v>
      </c>
      <c r="O88" s="0" t="n">
        <v>2.3</v>
      </c>
      <c r="P88" s="9" t="n">
        <f aca="false">(O88-O87)/O87</f>
        <v>-0.0254237288135593</v>
      </c>
      <c r="Q88" s="10" t="n">
        <v>1.15</v>
      </c>
      <c r="R88" s="9" t="n">
        <f aca="false">(Q88-Q87)/Q87</f>
        <v>0.0952380952380951</v>
      </c>
      <c r="S88" s="10" t="n">
        <v>4.25</v>
      </c>
      <c r="T88" s="9" t="n">
        <f aca="false">(S88-S87)/S87</f>
        <v>0.00472813238770675</v>
      </c>
      <c r="U88" s="13" t="n">
        <v>2.73</v>
      </c>
      <c r="V88" s="9" t="n">
        <f aca="false">(U88-U87)/U87</f>
        <v>-0.0144404332129966</v>
      </c>
      <c r="W88" s="0" t="n">
        <v>1.2021</v>
      </c>
      <c r="X88" s="23" t="n">
        <f aca="false">(W88-W87)/W87</f>
        <v>-0.0233975140141361</v>
      </c>
      <c r="Y88" s="0" t="n">
        <v>1.5411</v>
      </c>
      <c r="Z88" s="24" t="n">
        <f aca="false">(Y88-Y87)/Y87</f>
        <v>0.00025962224962662</v>
      </c>
    </row>
    <row r="89" customFormat="false" ht="13.8" hidden="false" customHeight="false" outlineLevel="0" collapsed="false">
      <c r="A89" s="8" t="n">
        <v>38229</v>
      </c>
      <c r="B89" s="0" t="n">
        <v>99.13</v>
      </c>
      <c r="C89" s="9" t="n">
        <f aca="false">(B89-B88)/B88</f>
        <v>0.00161665151055872</v>
      </c>
      <c r="D89" s="0" t="n">
        <v>13.91</v>
      </c>
      <c r="E89" s="9" t="n">
        <f aca="false">(D89-D88)/D88</f>
        <v>-0.0543847722637662</v>
      </c>
      <c r="F89" s="0" t="n">
        <v>112.12</v>
      </c>
      <c r="G89" s="9" t="n">
        <f aca="false">(F89-F88)/F88</f>
        <v>0.00601166442350832</v>
      </c>
      <c r="H89" s="0" t="n">
        <f aca="false">AVERAGE(F75:F88)</f>
        <v>111.339285714286</v>
      </c>
      <c r="I89" s="0" t="n">
        <f aca="false">AVERAGE(F82:F88)</f>
        <v>109.497142857143</v>
      </c>
      <c r="J89" s="0" t="n">
        <f aca="false">AVERAGE(F86:F88)</f>
        <v>109.706666666667</v>
      </c>
      <c r="K89" s="10" t="n">
        <v>44.34</v>
      </c>
      <c r="L89" s="9" t="n">
        <f aca="false">(K89-K88)/K88</f>
        <v>-0.0621827411167512</v>
      </c>
      <c r="M89" s="10" t="n">
        <v>42.23</v>
      </c>
      <c r="N89" s="9" t="n">
        <f aca="false">(M89-M88)/M88</f>
        <v>-0.0522890484739678</v>
      </c>
      <c r="O89" s="0" t="n">
        <v>2.3</v>
      </c>
      <c r="P89" s="9" t="n">
        <f aca="false">(O89-O88)/O88</f>
        <v>0</v>
      </c>
      <c r="Q89" s="10" t="n">
        <v>1.09</v>
      </c>
      <c r="R89" s="9" t="n">
        <f aca="false">(Q89-Q88)/Q88</f>
        <v>-0.0521739130434781</v>
      </c>
      <c r="S89" s="10" t="n">
        <v>4.19</v>
      </c>
      <c r="T89" s="9" t="n">
        <f aca="false">(S89-S88)/S88</f>
        <v>-0.0141176470588234</v>
      </c>
      <c r="U89" s="13" t="n">
        <v>2.61</v>
      </c>
      <c r="V89" s="9" t="n">
        <f aca="false">(U89-U88)/U88</f>
        <v>-0.0439560439560438</v>
      </c>
      <c r="W89" s="0" t="n">
        <v>1.2066</v>
      </c>
      <c r="X89" s="23" t="n">
        <f aca="false">(W89-W88)/W88</f>
        <v>0.00374344896431241</v>
      </c>
      <c r="Y89" s="0" t="n">
        <v>1.5315</v>
      </c>
      <c r="Z89" s="24" t="n">
        <f aca="false">(Y89-Y88)/Y88</f>
        <v>-0.00622931672182197</v>
      </c>
    </row>
    <row r="90" customFormat="false" ht="13.8" hidden="false" customHeight="false" outlineLevel="0" collapsed="false">
      <c r="A90" s="8" t="n">
        <v>38237</v>
      </c>
      <c r="B90" s="0" t="n">
        <v>99.61</v>
      </c>
      <c r="C90" s="9" t="n">
        <f aca="false">(B90-B89)/B89</f>
        <v>0.00484212650055487</v>
      </c>
      <c r="D90" s="0" t="n">
        <v>13.76</v>
      </c>
      <c r="E90" s="9" t="n">
        <f aca="false">(D90-D89)/D89</f>
        <v>-0.0107836089144501</v>
      </c>
      <c r="F90" s="0" t="n">
        <v>113.06</v>
      </c>
      <c r="G90" s="9" t="n">
        <f aca="false">(F90-F89)/F89</f>
        <v>0.00838387442026398</v>
      </c>
      <c r="H90" s="0" t="n">
        <f aca="false">AVERAGE(F76:F89)</f>
        <v>111.286428571429</v>
      </c>
      <c r="I90" s="0" t="n">
        <f aca="false">AVERAGE(F83:F89)</f>
        <v>109.698571428571</v>
      </c>
      <c r="J90" s="0" t="n">
        <f aca="false">AVERAGE(F87:F89)</f>
        <v>111.35</v>
      </c>
      <c r="K90" s="10" t="n">
        <v>43.28</v>
      </c>
      <c r="L90" s="9" t="n">
        <f aca="false">(K90-K89)/K89</f>
        <v>-0.0239061795218765</v>
      </c>
      <c r="M90" s="10" t="n">
        <v>41</v>
      </c>
      <c r="N90" s="9" t="n">
        <f aca="false">(M90-M89)/M89</f>
        <v>-0.0291262135922329</v>
      </c>
      <c r="O90" s="0" t="n">
        <v>2.3</v>
      </c>
      <c r="P90" s="9" t="n">
        <f aca="false">(O90-O89)/O89</f>
        <v>0</v>
      </c>
      <c r="Q90" s="10" t="n">
        <v>1.12</v>
      </c>
      <c r="R90" s="9" t="n">
        <f aca="false">(Q90-Q89)/Q89</f>
        <v>0.0275229357798165</v>
      </c>
      <c r="S90" s="10" t="n">
        <v>4.21</v>
      </c>
      <c r="T90" s="9" t="n">
        <f aca="false">(S90-S89)/S89</f>
        <v>0.00477326968973737</v>
      </c>
      <c r="U90" s="13" t="n">
        <v>2.58</v>
      </c>
      <c r="V90" s="9" t="n">
        <f aca="false">(U90-U89)/U89</f>
        <v>-0.0114942528735633</v>
      </c>
      <c r="W90" s="0" t="n">
        <v>1.2269</v>
      </c>
      <c r="X90" s="23" t="n">
        <f aca="false">(W90-W89)/W89</f>
        <v>0.0168241339300516</v>
      </c>
      <c r="Y90" s="0" t="n">
        <v>1.5425</v>
      </c>
      <c r="Z90" s="24" t="n">
        <f aca="false">(Y90-Y89)/Y89</f>
        <v>0.00718250081619321</v>
      </c>
    </row>
    <row r="91" customFormat="false" ht="13.8" hidden="false" customHeight="false" outlineLevel="0" collapsed="false">
      <c r="A91" s="8" t="n">
        <v>38243</v>
      </c>
      <c r="B91" s="0" t="n">
        <v>99.77</v>
      </c>
      <c r="C91" s="9" t="n">
        <f aca="false">(B91-B90)/B90</f>
        <v>0.00160626443128197</v>
      </c>
      <c r="D91" s="0" t="n">
        <v>14.03</v>
      </c>
      <c r="E91" s="9" t="n">
        <f aca="false">(D91-D90)/D90</f>
        <v>0.0196220930232558</v>
      </c>
      <c r="F91" s="0" t="n">
        <v>113.15</v>
      </c>
      <c r="G91" s="9" t="n">
        <f aca="false">(F91-F90)/F90</f>
        <v>0.000796037502211245</v>
      </c>
      <c r="H91" s="0" t="n">
        <f aca="false">AVERAGE(F77:F90)</f>
        <v>111.292142857143</v>
      </c>
      <c r="I91" s="0" t="n">
        <f aca="false">AVERAGE(F84:F90)</f>
        <v>110.284285714286</v>
      </c>
      <c r="J91" s="0" t="n">
        <f aca="false">AVERAGE(F88:F90)</f>
        <v>112.21</v>
      </c>
      <c r="K91" s="10" t="n">
        <v>43.33</v>
      </c>
      <c r="L91" s="9" t="n">
        <f aca="false">(K91-K90)/K90</f>
        <v>0.00115526802218108</v>
      </c>
      <c r="M91" s="10" t="n">
        <v>40.6</v>
      </c>
      <c r="N91" s="9" t="n">
        <f aca="false">(M91-M90)/M90</f>
        <v>-0.00975609756097557</v>
      </c>
      <c r="O91" s="0" t="n">
        <v>2.22</v>
      </c>
      <c r="P91" s="9" t="n">
        <f aca="false">(O91-O90)/O90</f>
        <v>-0.034782608695652</v>
      </c>
      <c r="Q91" s="10" t="n">
        <v>1.13</v>
      </c>
      <c r="R91" s="9" t="n">
        <f aca="false">(Q91-Q90)/Q90</f>
        <v>0.00892857142857124</v>
      </c>
      <c r="S91" s="10" t="n">
        <v>4.14</v>
      </c>
      <c r="T91" s="9" t="n">
        <f aca="false">(S91-S90)/S90</f>
        <v>-0.0166270783847982</v>
      </c>
      <c r="U91" s="13" t="n">
        <v>2.49</v>
      </c>
      <c r="V91" s="9" t="n">
        <f aca="false">(U91-U90)/U90</f>
        <v>-0.0348837209302327</v>
      </c>
      <c r="W91" s="0" t="n">
        <v>1.218</v>
      </c>
      <c r="X91" s="23" t="n">
        <f aca="false">(W91-W90)/W90</f>
        <v>-0.00725405493520265</v>
      </c>
      <c r="Y91" s="0" t="n">
        <v>1.546</v>
      </c>
      <c r="Z91" s="24" t="n">
        <f aca="false">(Y91-Y90)/Y90</f>
        <v>0.0022690437601297</v>
      </c>
    </row>
    <row r="92" customFormat="false" ht="13.8" hidden="false" customHeight="false" outlineLevel="0" collapsed="false">
      <c r="A92" s="8" t="n">
        <v>38250</v>
      </c>
      <c r="B92" s="0" t="n">
        <v>97.41</v>
      </c>
      <c r="C92" s="9" t="n">
        <f aca="false">(B92-B91)/B91</f>
        <v>-0.0236544051318031</v>
      </c>
      <c r="D92" s="0" t="n">
        <v>14.28</v>
      </c>
      <c r="E92" s="9" t="n">
        <f aca="false">(D92-D91)/D91</f>
        <v>0.0178189593727726</v>
      </c>
      <c r="F92" s="0" t="n">
        <v>111.46</v>
      </c>
      <c r="G92" s="9" t="n">
        <f aca="false">(F92-F91)/F91</f>
        <v>-0.0149359257622626</v>
      </c>
      <c r="H92" s="0" t="n">
        <f aca="false">AVERAGE(F78:F91)</f>
        <v>111.206428571429</v>
      </c>
      <c r="I92" s="0" t="n">
        <f aca="false">AVERAGE(F85:F91)</f>
        <v>110.614285714286</v>
      </c>
      <c r="J92" s="0" t="n">
        <f aca="false">AVERAGE(F89:F91)</f>
        <v>112.776666666667</v>
      </c>
      <c r="K92" s="10" t="n">
        <v>44.39</v>
      </c>
      <c r="L92" s="9" t="n">
        <f aca="false">(K92-K91)/K91</f>
        <v>0.0244634202630972</v>
      </c>
      <c r="M92" s="10" t="n">
        <v>41.55</v>
      </c>
      <c r="N92" s="9" t="n">
        <f aca="false">(M92-M91)/M91</f>
        <v>0.023399014778325</v>
      </c>
      <c r="O92" s="0" t="n">
        <v>2.18</v>
      </c>
      <c r="P92" s="9" t="n">
        <f aca="false">(O92-O91)/O91</f>
        <v>-0.0180180180180182</v>
      </c>
      <c r="Q92" s="10" t="n">
        <v>1.11</v>
      </c>
      <c r="R92" s="9" t="n">
        <f aca="false">(Q92-Q91)/Q91</f>
        <v>-0.0176991150442476</v>
      </c>
      <c r="S92" s="10" t="n">
        <v>4.04</v>
      </c>
      <c r="T92" s="9" t="n">
        <f aca="false">(S92-S91)/S91</f>
        <v>-0.0241545893719806</v>
      </c>
      <c r="U92" s="13" t="n">
        <v>2.35</v>
      </c>
      <c r="V92" s="9" t="n">
        <f aca="false">(U92-U91)/U91</f>
        <v>-0.0562248995983935</v>
      </c>
      <c r="W92" s="0" t="n">
        <v>1.2262</v>
      </c>
      <c r="X92" s="23" t="n">
        <f aca="false">(W92-W91)/W91</f>
        <v>0.00673234811165844</v>
      </c>
      <c r="Y92" s="0" t="n">
        <v>1.5483</v>
      </c>
      <c r="Z92" s="24" t="n">
        <f aca="false">(Y92-Y91)/Y91</f>
        <v>0.00148771021992236</v>
      </c>
    </row>
    <row r="93" customFormat="false" ht="13.8" hidden="false" customHeight="false" outlineLevel="0" collapsed="false">
      <c r="A93" s="8" t="n">
        <v>38257</v>
      </c>
      <c r="B93" s="0" t="n">
        <v>99.11</v>
      </c>
      <c r="C93" s="9" t="n">
        <f aca="false">(B93-B92)/B92</f>
        <v>0.0174520069808028</v>
      </c>
      <c r="D93" s="0" t="n">
        <v>12.75</v>
      </c>
      <c r="E93" s="9" t="n">
        <f aca="false">(D93-D92)/D92</f>
        <v>-0.107142857142857</v>
      </c>
      <c r="F93" s="0" t="n">
        <v>113.65</v>
      </c>
      <c r="G93" s="9" t="n">
        <f aca="false">(F93-F92)/F92</f>
        <v>0.0196483043244214</v>
      </c>
      <c r="H93" s="0" t="n">
        <f aca="false">AVERAGE(F79:F92)</f>
        <v>111.051428571429</v>
      </c>
      <c r="I93" s="0" t="n">
        <f aca="false">AVERAGE(F86:F92)</f>
        <v>111.272857142857</v>
      </c>
      <c r="J93" s="0" t="n">
        <f aca="false">AVERAGE(F90:F92)</f>
        <v>112.556666666667</v>
      </c>
      <c r="K93" s="10" t="n">
        <v>47.82</v>
      </c>
      <c r="L93" s="9" t="n">
        <f aca="false">(K93-K92)/K92</f>
        <v>0.0772696553277765</v>
      </c>
      <c r="M93" s="10" t="n">
        <v>45.3</v>
      </c>
      <c r="N93" s="9" t="n">
        <f aca="false">(M93-M92)/M92</f>
        <v>0.0902527075812274</v>
      </c>
      <c r="O93" s="0" t="n">
        <v>2.3</v>
      </c>
      <c r="P93" s="9" t="n">
        <f aca="false">(O93-O92)/O92</f>
        <v>0.0550458715596331</v>
      </c>
      <c r="Q93" s="10" t="n">
        <v>1.05</v>
      </c>
      <c r="R93" s="9" t="n">
        <f aca="false">(Q93-Q92)/Q92</f>
        <v>-0.0540540540540541</v>
      </c>
      <c r="S93" s="10" t="n">
        <v>4.1</v>
      </c>
      <c r="T93" s="9" t="n">
        <f aca="false">(S93-S92)/S92</f>
        <v>0.0148514851485148</v>
      </c>
      <c r="U93" s="13" t="n">
        <v>2.41</v>
      </c>
      <c r="V93" s="9" t="n">
        <f aca="false">(U93-U92)/U92</f>
        <v>0.0255319148936169</v>
      </c>
      <c r="W93" s="0" t="n">
        <v>1.2409</v>
      </c>
      <c r="X93" s="23" t="n">
        <f aca="false">(W93-W92)/W92</f>
        <v>0.011988256401892</v>
      </c>
      <c r="Y93" s="0" t="n">
        <v>1.5517</v>
      </c>
      <c r="Z93" s="24" t="n">
        <f aca="false">(Y93-Y92)/Y92</f>
        <v>0.00219595685590652</v>
      </c>
    </row>
    <row r="94" customFormat="false" ht="13.8" hidden="false" customHeight="false" outlineLevel="0" collapsed="false">
      <c r="A94" s="8" t="n">
        <v>38264</v>
      </c>
      <c r="B94" s="0" t="n">
        <v>99.16</v>
      </c>
      <c r="C94" s="9" t="n">
        <f aca="false">(B94-B93)/B93</f>
        <v>0.000504489960649754</v>
      </c>
      <c r="D94" s="0" t="n">
        <v>15.05</v>
      </c>
      <c r="E94" s="9" t="n">
        <f aca="false">(D94-D93)/D93</f>
        <v>0.180392156862745</v>
      </c>
      <c r="F94" s="0" t="n">
        <v>112.51</v>
      </c>
      <c r="G94" s="9" t="n">
        <f aca="false">(F94-F93)/F93</f>
        <v>-0.0100307963044435</v>
      </c>
      <c r="H94" s="0" t="n">
        <f aca="false">AVERAGE(F80:F93)</f>
        <v>111.037857142857</v>
      </c>
      <c r="I94" s="0" t="n">
        <f aca="false">AVERAGE(F87:F93)</f>
        <v>112.195714285714</v>
      </c>
      <c r="J94" s="0" t="n">
        <f aca="false">AVERAGE(F91:F93)</f>
        <v>112.753333333333</v>
      </c>
      <c r="K94" s="10" t="n">
        <v>49.71</v>
      </c>
      <c r="L94" s="9" t="n">
        <f aca="false">(K94-K93)/K93</f>
        <v>0.0395232120451694</v>
      </c>
      <c r="M94" s="10" t="n">
        <v>47.11</v>
      </c>
      <c r="N94" s="9" t="n">
        <f aca="false">(M94-M93)/M93</f>
        <v>0.0399558498896248</v>
      </c>
      <c r="O94" s="0" t="n">
        <v>2.33</v>
      </c>
      <c r="P94" s="9" t="n">
        <f aca="false">(O94-O93)/O93</f>
        <v>0.0130434782608697</v>
      </c>
      <c r="Q94" s="10" t="n">
        <v>1.13</v>
      </c>
      <c r="R94" s="9" t="n">
        <f aca="false">(Q94-Q93)/Q93</f>
        <v>0.076190476190476</v>
      </c>
      <c r="S94" s="10" t="n">
        <v>4.2</v>
      </c>
      <c r="T94" s="9" t="n">
        <f aca="false">(S94-S93)/S93</f>
        <v>0.0243902439024392</v>
      </c>
      <c r="U94" s="13" t="n">
        <v>2.52</v>
      </c>
      <c r="V94" s="9" t="n">
        <f aca="false">(U94-U93)/U93</f>
        <v>0.0456431535269713</v>
      </c>
      <c r="W94" s="0" t="n">
        <v>1.2416</v>
      </c>
      <c r="X94" s="23" t="n">
        <f aca="false">(W94-W93)/W93</f>
        <v>0.000564106696752474</v>
      </c>
      <c r="Y94" s="0" t="n">
        <v>1.5509</v>
      </c>
      <c r="Z94" s="24" t="n">
        <f aca="false">(Y94-Y93)/Y93</f>
        <v>-0.000515563575433482</v>
      </c>
    </row>
    <row r="95" customFormat="false" ht="13.8" hidden="false" customHeight="false" outlineLevel="0" collapsed="false">
      <c r="A95" s="8" t="n">
        <v>38271</v>
      </c>
      <c r="B95" s="0" t="n">
        <v>98.2</v>
      </c>
      <c r="C95" s="9" t="n">
        <f aca="false">(B95-B94)/B94</f>
        <v>-0.00968132311415887</v>
      </c>
      <c r="D95" s="0" t="n">
        <v>15.04</v>
      </c>
      <c r="E95" s="9" t="n">
        <f aca="false">(D95-D94)/D94</f>
        <v>-0.000664451827242629</v>
      </c>
      <c r="F95" s="0" t="n">
        <v>111.26</v>
      </c>
      <c r="G95" s="9" t="n">
        <f aca="false">(F95-F94)/F94</f>
        <v>-0.0111101235445738</v>
      </c>
      <c r="H95" s="0" t="n">
        <f aca="false">AVERAGE(F81:F94)</f>
        <v>111.011428571429</v>
      </c>
      <c r="I95" s="0" t="n">
        <f aca="false">AVERAGE(F88:F94)</f>
        <v>112.485714285714</v>
      </c>
      <c r="J95" s="0" t="n">
        <f aca="false">AVERAGE(F92:F94)</f>
        <v>112.54</v>
      </c>
      <c r="K95" s="10" t="n">
        <v>51.77</v>
      </c>
      <c r="L95" s="9" t="n">
        <f aca="false">(K95-K94)/K94</f>
        <v>0.0414403540535104</v>
      </c>
      <c r="M95" s="10" t="n">
        <v>48.09</v>
      </c>
      <c r="N95" s="9" t="n">
        <f aca="false">(M95-M94)/M94</f>
        <v>0.0208023774145617</v>
      </c>
      <c r="O95" s="0" t="n">
        <v>2.32</v>
      </c>
      <c r="P95" s="9" t="n">
        <f aca="false">(O95-O94)/O94</f>
        <v>-0.00429184549356214</v>
      </c>
      <c r="Q95" s="10" t="n">
        <v>0.99</v>
      </c>
      <c r="R95" s="9" t="n">
        <f aca="false">(Q95-Q94)/Q94</f>
        <v>-0.123893805309734</v>
      </c>
      <c r="S95" s="10" t="n">
        <v>4.08</v>
      </c>
      <c r="T95" s="9" t="n">
        <f aca="false">(S95-S94)/S94</f>
        <v>-0.0285714285714286</v>
      </c>
      <c r="U95" s="13" t="n">
        <v>2.38</v>
      </c>
      <c r="V95" s="9" t="n">
        <f aca="false">(U95-U94)/U94</f>
        <v>-0.0555555555555558</v>
      </c>
      <c r="W95" s="0" t="n">
        <v>1.248</v>
      </c>
      <c r="X95" s="23" t="n">
        <f aca="false">(W95-W94)/W94</f>
        <v>0.0051546391752577</v>
      </c>
      <c r="Y95" s="0" t="n">
        <v>1.538</v>
      </c>
      <c r="Z95" s="24" t="n">
        <f aca="false">(Y95-Y94)/Y94</f>
        <v>-0.00831775098329996</v>
      </c>
    </row>
    <row r="96" customFormat="false" ht="13.8" hidden="false" customHeight="false" outlineLevel="0" collapsed="false">
      <c r="A96" s="8" t="n">
        <v>38278</v>
      </c>
      <c r="B96" s="0" t="n">
        <v>95.91</v>
      </c>
      <c r="C96" s="9" t="n">
        <f aca="false">(B96-B95)/B95</f>
        <v>-0.0233197556008147</v>
      </c>
      <c r="D96" s="0" t="n">
        <v>15.28</v>
      </c>
      <c r="E96" s="9" t="n">
        <f aca="false">(D96-D95)/D95</f>
        <v>0.0159574468085107</v>
      </c>
      <c r="F96" s="0" t="n">
        <v>109.99</v>
      </c>
      <c r="G96" s="9" t="n">
        <f aca="false">(F96-F95)/F95</f>
        <v>-0.0114147042962431</v>
      </c>
      <c r="H96" s="0" t="n">
        <f aca="false">AVERAGE(F82:F95)</f>
        <v>110.977857142857</v>
      </c>
      <c r="I96" s="0" t="n">
        <f aca="false">AVERAGE(F89:F95)</f>
        <v>112.458571428571</v>
      </c>
      <c r="J96" s="0" t="n">
        <f aca="false">AVERAGE(F93:F95)</f>
        <v>112.473333333333</v>
      </c>
      <c r="K96" s="10" t="n">
        <v>54.12</v>
      </c>
      <c r="L96" s="9" t="n">
        <f aca="false">(K96-K95)/K95</f>
        <v>0.0453930847981455</v>
      </c>
      <c r="M96" s="10" t="n">
        <v>50.96</v>
      </c>
      <c r="N96" s="9" t="n">
        <f aca="false">(M96-M95)/M95</f>
        <v>0.0596797671033478</v>
      </c>
      <c r="O96" s="0" t="n">
        <v>2.37</v>
      </c>
      <c r="P96" s="9" t="n">
        <f aca="false">(O96-O95)/O95</f>
        <v>0.021551724137931</v>
      </c>
      <c r="Q96" s="10" t="n">
        <v>0.92</v>
      </c>
      <c r="R96" s="9" t="n">
        <f aca="false">(Q96-Q95)/Q95</f>
        <v>-0.0707070707070707</v>
      </c>
      <c r="S96" s="10" t="n">
        <v>4.03</v>
      </c>
      <c r="T96" s="9" t="n">
        <f aca="false">(S96-S95)/S95</f>
        <v>-0.0122549019607843</v>
      </c>
      <c r="U96" s="13" t="n">
        <v>2.23</v>
      </c>
      <c r="V96" s="9" t="n">
        <f aca="false">(U96-U95)/U95</f>
        <v>-0.0630252100840334</v>
      </c>
      <c r="W96" s="0" t="n">
        <v>1.2647</v>
      </c>
      <c r="X96" s="23" t="n">
        <f aca="false">(W96-W95)/W95</f>
        <v>0.0133814102564102</v>
      </c>
      <c r="Y96" s="0" t="n">
        <v>1.5365</v>
      </c>
      <c r="Z96" s="24" t="n">
        <f aca="false">(Y96-Y95)/Y95</f>
        <v>-0.00097529258777637</v>
      </c>
    </row>
    <row r="97" customFormat="false" ht="13.8" hidden="false" customHeight="false" outlineLevel="0" collapsed="false">
      <c r="A97" s="8" t="n">
        <v>38285</v>
      </c>
      <c r="B97" s="0" t="n">
        <v>99.42</v>
      </c>
      <c r="C97" s="9" t="n">
        <f aca="false">(B97-B96)/B96</f>
        <v>0.0365968095089147</v>
      </c>
      <c r="D97" s="0" t="n">
        <v>16.27</v>
      </c>
      <c r="E97" s="9" t="n">
        <f aca="false">(D97-D96)/D96</f>
        <v>0.0647905759162304</v>
      </c>
      <c r="F97" s="0" t="n">
        <v>113.2</v>
      </c>
      <c r="G97" s="9" t="n">
        <f aca="false">(F97-F96)/F96</f>
        <v>0.0291844713155742</v>
      </c>
      <c r="H97" s="0" t="n">
        <f aca="false">AVERAGE(F83:F96)</f>
        <v>110.926428571429</v>
      </c>
      <c r="I97" s="0" t="n">
        <f aca="false">AVERAGE(F90:F96)</f>
        <v>112.154285714286</v>
      </c>
      <c r="J97" s="0" t="n">
        <f aca="false">AVERAGE(F94:F96)</f>
        <v>111.253333333333</v>
      </c>
      <c r="K97" s="10" t="n">
        <v>54.43</v>
      </c>
      <c r="L97" s="9" t="n">
        <f aca="false">(K97-K96)/K96</f>
        <v>0.00572801182557284</v>
      </c>
      <c r="M97" s="10" t="n">
        <v>50.5</v>
      </c>
      <c r="N97" s="9" t="n">
        <f aca="false">(M97-M96)/M96</f>
        <v>-0.00902668759811619</v>
      </c>
      <c r="O97" s="0" t="n">
        <v>2.46</v>
      </c>
      <c r="P97" s="9" t="n">
        <f aca="false">(O97-O96)/O96</f>
        <v>0.0379746835443037</v>
      </c>
      <c r="Q97" s="10" t="n">
        <v>0.84</v>
      </c>
      <c r="R97" s="9" t="n">
        <f aca="false">(Q97-Q96)/Q96</f>
        <v>-0.0869565217391305</v>
      </c>
      <c r="S97" s="10" t="n">
        <v>4.05</v>
      </c>
      <c r="T97" s="9" t="n">
        <f aca="false">(S97-S96)/S96</f>
        <v>0.00496277915632744</v>
      </c>
      <c r="U97" s="13" t="n">
        <v>2.18</v>
      </c>
      <c r="V97" s="9" t="n">
        <f aca="false">(U97-U96)/U96</f>
        <v>-0.0224215246636774</v>
      </c>
      <c r="W97" s="0" t="n">
        <v>1.2787</v>
      </c>
      <c r="X97" s="23" t="n">
        <f aca="false">(W97-W96)/W96</f>
        <v>0.0110698189293904</v>
      </c>
      <c r="Y97" s="0" t="n">
        <v>1.5277</v>
      </c>
      <c r="Z97" s="24" t="n">
        <f aca="false">(Y97-Y96)/Y96</f>
        <v>-0.00572730231044577</v>
      </c>
    </row>
    <row r="98" customFormat="false" ht="13.8" hidden="false" customHeight="false" outlineLevel="0" collapsed="false">
      <c r="A98" s="8" t="n">
        <v>38292</v>
      </c>
      <c r="B98" s="0" t="n">
        <v>102.45</v>
      </c>
      <c r="C98" s="9" t="n">
        <f aca="false">(B98-B97)/B97</f>
        <v>0.0304767652383826</v>
      </c>
      <c r="D98" s="0" t="n">
        <v>13.84</v>
      </c>
      <c r="E98" s="9" t="n">
        <f aca="false">(D98-D97)/D97</f>
        <v>-0.149354640442532</v>
      </c>
      <c r="F98" s="0" t="n">
        <v>117.28</v>
      </c>
      <c r="G98" s="9" t="n">
        <f aca="false">(F98-F97)/F97</f>
        <v>0.0360424028268551</v>
      </c>
      <c r="H98" s="0" t="n">
        <f aca="false">AVERAGE(F84:F97)</f>
        <v>111.229285714286</v>
      </c>
      <c r="I98" s="0" t="n">
        <f aca="false">AVERAGE(F91:F97)</f>
        <v>112.174285714286</v>
      </c>
      <c r="J98" s="0" t="n">
        <f aca="false">AVERAGE(F95:F97)</f>
        <v>111.483333333333</v>
      </c>
      <c r="K98" s="10" t="n">
        <v>53.43</v>
      </c>
      <c r="L98" s="9" t="n">
        <f aca="false">(K98-K97)/K97</f>
        <v>-0.0183722212015433</v>
      </c>
      <c r="M98" s="10" t="n">
        <v>50.15</v>
      </c>
      <c r="N98" s="9" t="n">
        <f aca="false">(M98-M97)/M97</f>
        <v>-0.00693069306930696</v>
      </c>
      <c r="O98" s="0" t="n">
        <v>2.56</v>
      </c>
      <c r="P98" s="9" t="n">
        <f aca="false">(O98-O97)/O97</f>
        <v>0.0406504065040651</v>
      </c>
      <c r="Q98" s="10" t="n">
        <v>0.83</v>
      </c>
      <c r="R98" s="9" t="n">
        <f aca="false">(Q98-Q97)/Q97</f>
        <v>-0.0119047619047618</v>
      </c>
      <c r="S98" s="10" t="n">
        <v>4.12</v>
      </c>
      <c r="T98" s="9" t="n">
        <f aca="false">(S98-S97)/S97</f>
        <v>0.017283950617284</v>
      </c>
      <c r="U98" s="13" t="n">
        <v>2.17</v>
      </c>
      <c r="V98" s="9" t="n">
        <f aca="false">(U98-U97)/U97</f>
        <v>-0.00458715596330266</v>
      </c>
      <c r="W98" s="0" t="n">
        <v>1.2965</v>
      </c>
      <c r="X98" s="23" t="n">
        <f aca="false">(W98-W97)/W97</f>
        <v>0.0139203878939548</v>
      </c>
      <c r="Y98" s="0" t="n">
        <v>1.5269</v>
      </c>
      <c r="Z98" s="24" t="n">
        <f aca="false">(Y98-Y97)/Y97</f>
        <v>-0.000523663022844887</v>
      </c>
    </row>
    <row r="99" customFormat="false" ht="13.8" hidden="false" customHeight="false" outlineLevel="0" collapsed="false">
      <c r="A99" s="8" t="n">
        <v>38299</v>
      </c>
      <c r="B99" s="0" t="n">
        <v>103.73</v>
      </c>
      <c r="C99" s="9" t="n">
        <f aca="false">(B99-B98)/B98</f>
        <v>0.0124938994631528</v>
      </c>
      <c r="D99" s="0" t="n">
        <v>13.33</v>
      </c>
      <c r="E99" s="9" t="n">
        <f aca="false">(D99-D98)/D98</f>
        <v>-0.0368497109826589</v>
      </c>
      <c r="F99" s="0" t="n">
        <v>118.79</v>
      </c>
      <c r="G99" s="9" t="n">
        <f aca="false">(F99-F98)/F98</f>
        <v>0.0128751705320601</v>
      </c>
      <c r="H99" s="0" t="n">
        <f aca="false">AVERAGE(F85:F98)</f>
        <v>111.689285714286</v>
      </c>
      <c r="I99" s="0" t="n">
        <f aca="false">AVERAGE(F92:F98)</f>
        <v>112.764285714286</v>
      </c>
      <c r="J99" s="0" t="n">
        <f aca="false">AVERAGE(F96:F98)</f>
        <v>113.49</v>
      </c>
      <c r="K99" s="10" t="n">
        <v>49.81</v>
      </c>
      <c r="L99" s="9" t="n">
        <f aca="false">(K99-K98)/K98</f>
        <v>-0.0677521991390604</v>
      </c>
      <c r="M99" s="10" t="n">
        <v>45.78</v>
      </c>
      <c r="N99" s="9" t="n">
        <f aca="false">(M99-M98)/M98</f>
        <v>-0.0871385842472582</v>
      </c>
      <c r="O99" s="0" t="n">
        <v>2.58</v>
      </c>
      <c r="P99" s="9" t="n">
        <f aca="false">(O99-O98)/O98</f>
        <v>0.00781250000000001</v>
      </c>
      <c r="Q99" s="10" t="n">
        <v>0.95</v>
      </c>
      <c r="R99" s="9" t="n">
        <f aca="false">(Q99-Q98)/Q98</f>
        <v>0.144578313253012</v>
      </c>
      <c r="S99" s="10" t="n">
        <v>4.22</v>
      </c>
      <c r="T99" s="9" t="n">
        <f aca="false">(S99-S98)/S98</f>
        <v>0.0242718446601941</v>
      </c>
      <c r="U99" s="13" t="n">
        <v>2.18</v>
      </c>
      <c r="V99" s="9" t="n">
        <f aca="false">(U99-U98)/U98</f>
        <v>0.00460829493087548</v>
      </c>
      <c r="W99" s="0" t="n">
        <v>1.2984</v>
      </c>
      <c r="X99" s="23" t="n">
        <f aca="false">(W99-W98)/W98</f>
        <v>0.00146548399537217</v>
      </c>
      <c r="Y99" s="0" t="n">
        <v>1.5198</v>
      </c>
      <c r="Z99" s="24" t="n">
        <f aca="false">(Y99-Y98)/Y98</f>
        <v>-0.00464994433165229</v>
      </c>
    </row>
    <row r="100" customFormat="false" ht="13.8" hidden="false" customHeight="false" outlineLevel="0" collapsed="false">
      <c r="A100" s="8" t="n">
        <v>38306</v>
      </c>
      <c r="B100" s="0" t="n">
        <v>100.76</v>
      </c>
      <c r="C100" s="9" t="n">
        <f aca="false">(B100-B99)/B99</f>
        <v>-0.0286320254506893</v>
      </c>
      <c r="D100" s="0" t="n">
        <v>13.5</v>
      </c>
      <c r="E100" s="9" t="n">
        <f aca="false">(D100-D99)/D99</f>
        <v>0.0127531882970743</v>
      </c>
      <c r="F100" s="0" t="n">
        <v>117.42</v>
      </c>
      <c r="G100" s="9" t="n">
        <f aca="false">(F100-F99)/F99</f>
        <v>-0.0115329573196397</v>
      </c>
      <c r="H100" s="0" t="n">
        <f aca="false">AVERAGE(F86:F99)</f>
        <v>112.542142857143</v>
      </c>
      <c r="I100" s="0" t="n">
        <f aca="false">AVERAGE(F93:F99)</f>
        <v>113.811428571429</v>
      </c>
      <c r="J100" s="0" t="n">
        <f aca="false">AVERAGE(F97:F99)</f>
        <v>116.423333333333</v>
      </c>
      <c r="K100" s="10" t="n">
        <v>48</v>
      </c>
      <c r="L100" s="9" t="n">
        <f aca="false">(K100-K99)/K99</f>
        <v>-0.0363380847219434</v>
      </c>
      <c r="M100" s="10" t="n">
        <v>42.83</v>
      </c>
      <c r="N100" s="9" t="n">
        <f aca="false">(M100-M99)/M99</f>
        <v>-0.0644386194844911</v>
      </c>
      <c r="O100" s="0" t="n">
        <v>2.62</v>
      </c>
      <c r="P100" s="9" t="n">
        <f aca="false">(O100-O99)/O99</f>
        <v>0.0155038759689923</v>
      </c>
      <c r="Q100" s="10" t="n">
        <v>0.9</v>
      </c>
      <c r="R100" s="9" t="n">
        <f aca="false">(Q100-Q99)/Q99</f>
        <v>-0.0526315789473685</v>
      </c>
      <c r="S100" s="10" t="n">
        <v>4.17</v>
      </c>
      <c r="T100" s="9" t="n">
        <f aca="false">(S100-S99)/S99</f>
        <v>-0.0118483412322274</v>
      </c>
      <c r="U100" s="13" t="n">
        <v>2.08</v>
      </c>
      <c r="V100" s="9" t="n">
        <f aca="false">(U100-U99)/U99</f>
        <v>-0.0458715596330274</v>
      </c>
      <c r="W100" s="0" t="n">
        <v>1.3016</v>
      </c>
      <c r="X100" s="23" t="n">
        <f aca="false">(W100-W99)/W99</f>
        <v>0.00246457178065318</v>
      </c>
      <c r="Y100" s="0" t="n">
        <v>1.5127</v>
      </c>
      <c r="Z100" s="24" t="n">
        <f aca="false">(Y100-Y99)/Y99</f>
        <v>-0.00467166732464805</v>
      </c>
    </row>
    <row r="101" customFormat="false" ht="13.8" hidden="false" customHeight="false" outlineLevel="0" collapsed="false">
      <c r="A101" s="8" t="n">
        <v>38313</v>
      </c>
      <c r="B101" s="0" t="n">
        <v>101.92</v>
      </c>
      <c r="C101" s="9" t="n">
        <f aca="false">(B101-B100)/B100</f>
        <v>0.0115125049622866</v>
      </c>
      <c r="D101" s="0" t="n">
        <v>12.78</v>
      </c>
      <c r="E101" s="9" t="n">
        <f aca="false">(D101-D100)/D100</f>
        <v>-0.0533333333333334</v>
      </c>
      <c r="F101" s="0" t="n">
        <v>118.35</v>
      </c>
      <c r="G101" s="9" t="n">
        <f aca="false">(F101-F100)/F100</f>
        <v>0.00792028615227383</v>
      </c>
      <c r="H101" s="0" t="n">
        <f aca="false">AVERAGE(F87:F100)</f>
        <v>113.272857142857</v>
      </c>
      <c r="I101" s="0" t="n">
        <f aca="false">AVERAGE(F94:F100)</f>
        <v>114.35</v>
      </c>
      <c r="J101" s="0" t="n">
        <f aca="false">AVERAGE(F98:F100)</f>
        <v>117.83</v>
      </c>
      <c r="K101" s="10" t="n">
        <v>47.02</v>
      </c>
      <c r="L101" s="9" t="n">
        <f aca="false">(K101-K100)/K100</f>
        <v>-0.0204166666666666</v>
      </c>
      <c r="M101" s="10" t="n">
        <v>40.63</v>
      </c>
      <c r="N101" s="9" t="n">
        <f aca="false">(M101-M100)/M100</f>
        <v>-0.0513658650478636</v>
      </c>
      <c r="O101" s="0" t="n">
        <v>2.68</v>
      </c>
      <c r="P101" s="9" t="n">
        <f aca="false">(O101-O100)/O100</f>
        <v>0.0229007633587786</v>
      </c>
      <c r="Q101" s="10" t="n">
        <v>0.92</v>
      </c>
      <c r="R101" s="9" t="n">
        <f aca="false">(Q101-Q100)/Q100</f>
        <v>0.0222222222222222</v>
      </c>
      <c r="S101" s="10" t="n">
        <v>4.2</v>
      </c>
      <c r="T101" s="9" t="n">
        <f aca="false">(S101-S100)/S100</f>
        <v>0.00719424460431661</v>
      </c>
      <c r="U101" s="13" t="n">
        <v>2.05</v>
      </c>
      <c r="V101" s="9" t="n">
        <f aca="false">(U101-U100)/U100</f>
        <v>-0.0144230769230768</v>
      </c>
      <c r="W101" s="0" t="n">
        <v>1.329</v>
      </c>
      <c r="X101" s="23" t="n">
        <f aca="false">(W101-W100)/W100</f>
        <v>0.0210510141364473</v>
      </c>
      <c r="Y101" s="0" t="n">
        <v>1.5135</v>
      </c>
      <c r="Z101" s="24" t="n">
        <f aca="false">(Y101-Y100)/Y100</f>
        <v>0.000528855688504088</v>
      </c>
    </row>
    <row r="102" customFormat="false" ht="13.8" hidden="false" customHeight="false" outlineLevel="0" collapsed="false">
      <c r="A102" s="8" t="n">
        <v>38320</v>
      </c>
      <c r="B102" s="0" t="n">
        <v>101.85</v>
      </c>
      <c r="C102" s="9" t="n">
        <f aca="false">(B102-B101)/B101</f>
        <v>-0.000686813186813259</v>
      </c>
      <c r="D102" s="0" t="n">
        <v>12.96</v>
      </c>
      <c r="E102" s="9" t="n">
        <f aca="false">(D102-D101)/D101</f>
        <v>0.0140845070422536</v>
      </c>
      <c r="F102" s="0" t="n">
        <v>119.25</v>
      </c>
      <c r="G102" s="9" t="n">
        <f aca="false">(F102-F101)/F101</f>
        <v>0.00760456273764263</v>
      </c>
      <c r="H102" s="0" t="n">
        <f aca="false">AVERAGE(F88:F101)</f>
        <v>113.835</v>
      </c>
      <c r="I102" s="0" t="n">
        <f aca="false">AVERAGE(F95:F101)</f>
        <v>115.184285714286</v>
      </c>
      <c r="J102" s="0" t="n">
        <f aca="false">AVERAGE(F99:F101)</f>
        <v>118.186666666667</v>
      </c>
      <c r="K102" s="10" t="n">
        <v>48.79</v>
      </c>
      <c r="L102" s="9" t="n">
        <f aca="false">(K102-K101)/K101</f>
        <v>0.0376435559336452</v>
      </c>
      <c r="M102" s="10" t="n">
        <v>42.78</v>
      </c>
      <c r="N102" s="9" t="n">
        <f aca="false">(M102-M101)/M101</f>
        <v>0.0529165641151858</v>
      </c>
      <c r="O102" s="0" t="n">
        <v>2.72</v>
      </c>
      <c r="P102" s="9" t="n">
        <f aca="false">(O102-O101)/O101</f>
        <v>0.0149253731343282</v>
      </c>
      <c r="Q102" s="10" t="n">
        <v>0.98</v>
      </c>
      <c r="R102" s="9" t="n">
        <f aca="false">(Q102-Q101)/Q101</f>
        <v>0.0652173913043478</v>
      </c>
      <c r="S102" s="10" t="n">
        <v>4.35</v>
      </c>
      <c r="T102" s="9" t="n">
        <f aca="false">(S102-S101)/S101</f>
        <v>0.0357142857142856</v>
      </c>
      <c r="U102" s="13" t="n">
        <v>2.16</v>
      </c>
      <c r="V102" s="9" t="n">
        <f aca="false">(U102-U101)/U101</f>
        <v>0.0536585365853656</v>
      </c>
      <c r="W102" s="0" t="n">
        <v>1.345</v>
      </c>
      <c r="X102" s="23" t="n">
        <f aca="false">(W102-W101)/W101</f>
        <v>0.0120391271632807</v>
      </c>
      <c r="Y102" s="0" t="n">
        <v>1.522</v>
      </c>
      <c r="Z102" s="24" t="n">
        <f aca="false">(Y102-Y101)/Y101</f>
        <v>0.00561612157251401</v>
      </c>
    </row>
    <row r="103" customFormat="false" ht="13.8" hidden="false" customHeight="false" outlineLevel="0" collapsed="false">
      <c r="A103" s="8" t="n">
        <v>38327</v>
      </c>
      <c r="B103" s="0" t="n">
        <v>101.51</v>
      </c>
      <c r="C103" s="9" t="n">
        <f aca="false">(B103-B102)/B102</f>
        <v>-0.00333824251350014</v>
      </c>
      <c r="D103" s="0" t="n">
        <v>12.76</v>
      </c>
      <c r="E103" s="9" t="n">
        <f aca="false">(D103-D102)/D102</f>
        <v>-0.0154320987654322</v>
      </c>
      <c r="F103" s="0" t="n">
        <v>119.33</v>
      </c>
      <c r="G103" s="9" t="n">
        <f aca="false">(F103-F102)/F102</f>
        <v>0.000670859538784053</v>
      </c>
      <c r="H103" s="0" t="n">
        <f aca="false">AVERAGE(F89:F102)</f>
        <v>114.392142857143</v>
      </c>
      <c r="I103" s="0" t="n">
        <f aca="false">AVERAGE(F96:F102)</f>
        <v>116.325714285714</v>
      </c>
      <c r="J103" s="0" t="n">
        <f aca="false">AVERAGE(F100:F102)</f>
        <v>118.34</v>
      </c>
      <c r="K103" s="10" t="n">
        <v>46.06</v>
      </c>
      <c r="L103" s="9" t="n">
        <f aca="false">(K103-K102)/K102</f>
        <v>-0.0559540889526542</v>
      </c>
      <c r="M103" s="10" t="n">
        <v>41.31</v>
      </c>
      <c r="N103" s="9" t="n">
        <f aca="false">(M103-M102)/M102</f>
        <v>-0.0343618513323983</v>
      </c>
      <c r="O103" s="0" t="n">
        <v>2.65</v>
      </c>
      <c r="P103" s="9" t="n">
        <f aca="false">(O103-O102)/O102</f>
        <v>-0.025735294117647</v>
      </c>
      <c r="Q103" s="10" t="n">
        <v>0.91</v>
      </c>
      <c r="R103" s="9" t="n">
        <f aca="false">(Q103-Q102)/Q102</f>
        <v>-0.0714285714285714</v>
      </c>
      <c r="S103" s="10" t="n">
        <v>4.19</v>
      </c>
      <c r="T103" s="9" t="n">
        <f aca="false">(S103-S102)/S102</f>
        <v>-0.0367816091954021</v>
      </c>
      <c r="U103" s="13" t="n">
        <v>1.98</v>
      </c>
      <c r="V103" s="9" t="n">
        <f aca="false">(U103-U102)/U102</f>
        <v>-0.083333333333333</v>
      </c>
      <c r="W103" s="0" t="n">
        <v>1.3236</v>
      </c>
      <c r="X103" s="23" t="n">
        <f aca="false">(W103-W102)/W102</f>
        <v>-0.0159107806691449</v>
      </c>
      <c r="Y103" s="0" t="n">
        <v>1.5355</v>
      </c>
      <c r="Z103" s="24" t="n">
        <f aca="false">(Y103-Y102)/Y102</f>
        <v>0.00886990801576877</v>
      </c>
    </row>
    <row r="104" customFormat="false" ht="13.8" hidden="false" customHeight="false" outlineLevel="0" collapsed="false">
      <c r="A104" s="8" t="n">
        <v>38334</v>
      </c>
      <c r="B104" s="0" t="n">
        <v>102.08</v>
      </c>
      <c r="C104" s="9" t="n">
        <f aca="false">(B104-B103)/B103</f>
        <v>0.00561521032410593</v>
      </c>
      <c r="D104" s="0" t="n">
        <v>11.95</v>
      </c>
      <c r="E104" s="9" t="n">
        <f aca="false">(D104-D103)/D103</f>
        <v>-0.0634796238244515</v>
      </c>
      <c r="F104" s="0" t="n">
        <v>119.44</v>
      </c>
      <c r="G104" s="9" t="n">
        <f aca="false">(F104-F103)/F103</f>
        <v>0.000921813458476489</v>
      </c>
      <c r="H104" s="0" t="n">
        <f aca="false">AVERAGE(F90:F103)</f>
        <v>114.907142857143</v>
      </c>
      <c r="I104" s="0" t="n">
        <f aca="false">AVERAGE(F97:F103)</f>
        <v>117.66</v>
      </c>
      <c r="J104" s="0" t="n">
        <f aca="false">AVERAGE(F101:F103)</f>
        <v>118.976666666667</v>
      </c>
      <c r="K104" s="10" t="n">
        <v>41.91</v>
      </c>
      <c r="L104" s="9" t="n">
        <f aca="false">(K104-K103)/K103</f>
        <v>-0.0900998697351282</v>
      </c>
      <c r="M104" s="10" t="n">
        <v>37.6</v>
      </c>
      <c r="N104" s="9" t="n">
        <f aca="false">(M104-M103)/M103</f>
        <v>-0.0898087630113774</v>
      </c>
      <c r="O104" s="0" t="n">
        <v>2.65</v>
      </c>
      <c r="P104" s="9" t="n">
        <f aca="false">(O104-O103)/O103</f>
        <v>0</v>
      </c>
      <c r="Q104" s="10" t="n">
        <v>0.89</v>
      </c>
      <c r="R104" s="9" t="n">
        <f aca="false">(Q104-Q103)/Q103</f>
        <v>-0.021978021978022</v>
      </c>
      <c r="S104" s="10" t="n">
        <v>4.16</v>
      </c>
      <c r="T104" s="9" t="n">
        <f aca="false">(S104-S103)/S103</f>
        <v>-0.00715990453460626</v>
      </c>
      <c r="U104" s="13" t="n">
        <v>1.98</v>
      </c>
      <c r="V104" s="9" t="n">
        <f aca="false">(U104-U103)/U103</f>
        <v>0</v>
      </c>
      <c r="W104" s="0" t="n">
        <v>1.3288</v>
      </c>
      <c r="X104" s="23" t="n">
        <f aca="false">(W104-W103)/W103</f>
        <v>0.00392867935932296</v>
      </c>
      <c r="Y104" s="0" t="n">
        <v>1.5389</v>
      </c>
      <c r="Z104" s="24" t="n">
        <f aca="false">(Y104-Y103)/Y103</f>
        <v>0.00221426245522621</v>
      </c>
    </row>
    <row r="105" customFormat="false" ht="13.8" hidden="false" customHeight="false" outlineLevel="0" collapsed="false">
      <c r="A105" s="8" t="n">
        <v>38341</v>
      </c>
      <c r="B105" s="0" t="n">
        <v>104.41</v>
      </c>
      <c r="C105" s="9" t="n">
        <f aca="false">(B105-B104)/B104</f>
        <v>0.0228252351097179</v>
      </c>
      <c r="D105" s="0" t="n">
        <v>11.23</v>
      </c>
      <c r="E105" s="9" t="n">
        <f aca="false">(D105-D104)/D104</f>
        <v>-0.0602510460251045</v>
      </c>
      <c r="F105" s="0" t="n">
        <v>120.77</v>
      </c>
      <c r="G105" s="9" t="n">
        <f aca="false">(F105-F104)/F104</f>
        <v>0.0111352980576021</v>
      </c>
      <c r="H105" s="0" t="n">
        <f aca="false">AVERAGE(F91:F104)</f>
        <v>115.362857142857</v>
      </c>
      <c r="I105" s="0" t="n">
        <f aca="false">AVERAGE(F98:F104)</f>
        <v>118.551428571429</v>
      </c>
      <c r="J105" s="0" t="n">
        <f aca="false">AVERAGE(F102:F104)</f>
        <v>119.34</v>
      </c>
      <c r="K105" s="10" t="n">
        <v>43.5</v>
      </c>
      <c r="L105" s="9" t="n">
        <f aca="false">(K105-K104)/K104</f>
        <v>0.0379384395132427</v>
      </c>
      <c r="M105" s="10" t="n">
        <v>39.98</v>
      </c>
      <c r="N105" s="9" t="n">
        <f aca="false">(M105-M104)/M104</f>
        <v>0.0632978723404254</v>
      </c>
      <c r="O105" s="0" t="n">
        <v>2.7</v>
      </c>
      <c r="P105" s="9" t="n">
        <f aca="false">(O105-O104)/O104</f>
        <v>0.018867924528302</v>
      </c>
      <c r="Q105" s="10" t="n">
        <v>0.88</v>
      </c>
      <c r="R105" s="9" t="n">
        <f aca="false">(Q105-Q104)/Q104</f>
        <v>-0.0112359550561798</v>
      </c>
      <c r="S105" s="10" t="n">
        <v>4.21</v>
      </c>
      <c r="T105" s="9" t="n">
        <f aca="false">(S105-S104)/S104</f>
        <v>0.0120192307692307</v>
      </c>
      <c r="U105" s="13" t="n">
        <v>2.04</v>
      </c>
      <c r="V105" s="9" t="n">
        <f aca="false">(U105-U104)/U104</f>
        <v>0.0303030303030303</v>
      </c>
      <c r="W105" s="0" t="n">
        <v>1.3534</v>
      </c>
      <c r="X105" s="23" t="n">
        <f aca="false">(W105-W104)/W104</f>
        <v>0.0185129440096327</v>
      </c>
      <c r="Y105" s="0" t="n">
        <v>1.5461</v>
      </c>
      <c r="Z105" s="24" t="n">
        <f aca="false">(Y105-Y104)/Y104</f>
        <v>0.00467866658002476</v>
      </c>
    </row>
    <row r="106" customFormat="false" ht="13.8" hidden="false" customHeight="false" outlineLevel="0" collapsed="false">
      <c r="A106" s="8" t="n">
        <v>38348</v>
      </c>
      <c r="B106" s="0" t="n">
        <v>104.11</v>
      </c>
      <c r="C106" s="9" t="n">
        <f aca="false">(B106-B105)/B105</f>
        <v>-0.00287328799923376</v>
      </c>
      <c r="D106" s="0" t="n">
        <v>13.29</v>
      </c>
      <c r="E106" s="9" t="n">
        <f aca="false">(D106-D105)/D105</f>
        <v>0.183437221727515</v>
      </c>
      <c r="F106" s="0" t="n">
        <v>120.87</v>
      </c>
      <c r="G106" s="9" t="n">
        <f aca="false">(F106-F105)/F105</f>
        <v>0.000828020203693041</v>
      </c>
      <c r="H106" s="0" t="n">
        <f aca="false">AVERAGE(F92:F105)</f>
        <v>115.907142857143</v>
      </c>
      <c r="I106" s="0" t="n">
        <f aca="false">AVERAGE(F99:F105)</f>
        <v>119.05</v>
      </c>
      <c r="J106" s="0" t="n">
        <f aca="false">AVERAGE(F103:F105)</f>
        <v>119.846666666667</v>
      </c>
      <c r="K106" s="10" t="n">
        <v>44.39</v>
      </c>
      <c r="L106" s="9" t="n">
        <f aca="false">(K106-K105)/K105</f>
        <v>0.0204597701149425</v>
      </c>
      <c r="M106" s="10" t="n">
        <v>41.15</v>
      </c>
      <c r="N106" s="9" t="n">
        <f aca="false">(M106-M105)/M105</f>
        <v>0.0292646323161581</v>
      </c>
      <c r="O106" s="0" t="n">
        <v>2.68</v>
      </c>
      <c r="P106" s="9" t="n">
        <f aca="false">(O106-O105)/O105</f>
        <v>-0.00740740740740758</v>
      </c>
      <c r="Q106" s="10" t="n">
        <v>0.97</v>
      </c>
      <c r="R106" s="9" t="n">
        <f aca="false">(Q106-Q105)/Q105</f>
        <v>0.102272727272727</v>
      </c>
      <c r="S106" s="10" t="n">
        <v>4.29</v>
      </c>
      <c r="T106" s="9" t="n">
        <f aca="false">(S106-S105)/S105</f>
        <v>0.0190023752969121</v>
      </c>
      <c r="U106" s="13" t="n">
        <v>2.09</v>
      </c>
      <c r="V106" s="9" t="n">
        <f aca="false">(U106-U105)/U105</f>
        <v>0.0245098039215685</v>
      </c>
      <c r="W106" s="0" t="n">
        <v>1.3557</v>
      </c>
      <c r="X106" s="23" t="n">
        <f aca="false">(W106-W105)/W105</f>
        <v>0.00169942367371063</v>
      </c>
      <c r="Y106" s="0" t="n">
        <v>1.5464</v>
      </c>
      <c r="Z106" s="24" t="n">
        <f aca="false">(Y106-Y105)/Y105</f>
        <v>0.000194036608240067</v>
      </c>
    </row>
    <row r="107" customFormat="false" ht="13.8" hidden="false" customHeight="false" outlineLevel="0" collapsed="false">
      <c r="A107" s="8" t="n">
        <v>38355</v>
      </c>
      <c r="B107" s="0" t="n">
        <v>102.09</v>
      </c>
      <c r="C107" s="9" t="n">
        <f aca="false">(B107-B106)/B106</f>
        <v>-0.0194025549899145</v>
      </c>
      <c r="D107" s="0" t="n">
        <v>13.49</v>
      </c>
      <c r="E107" s="9" t="n">
        <f aca="false">(D107-D106)/D106</f>
        <v>0.0150489089541009</v>
      </c>
      <c r="F107" s="0" t="n">
        <v>118.44</v>
      </c>
      <c r="G107" s="9" t="n">
        <f aca="false">(F107-F106)/F106</f>
        <v>-0.0201042442293374</v>
      </c>
      <c r="H107" s="0" t="n">
        <f aca="false">AVERAGE(F93:F106)</f>
        <v>116.579285714286</v>
      </c>
      <c r="I107" s="0" t="n">
        <f aca="false">AVERAGE(F100:F106)</f>
        <v>119.347142857143</v>
      </c>
      <c r="J107" s="0" t="n">
        <f aca="false">AVERAGE(F104:F106)</f>
        <v>120.36</v>
      </c>
      <c r="K107" s="10" t="n">
        <v>42.52</v>
      </c>
      <c r="L107" s="9" t="n">
        <f aca="false">(K107-K106)/K106</f>
        <v>-0.0421266050912367</v>
      </c>
      <c r="M107" s="10" t="n">
        <v>39.79</v>
      </c>
      <c r="N107" s="9" t="n">
        <f aca="false">(M107-M106)/M106</f>
        <v>-0.0330498177399757</v>
      </c>
      <c r="O107" s="0" t="n">
        <v>2.6</v>
      </c>
      <c r="P107" s="9" t="n">
        <f aca="false">(O107-O106)/O106</f>
        <v>-0.0298507462686567</v>
      </c>
      <c r="Q107" s="10" t="n">
        <v>1.11</v>
      </c>
      <c r="R107" s="9" t="n">
        <f aca="false">(Q107-Q106)/Q106</f>
        <v>0.144329896907217</v>
      </c>
      <c r="S107" s="10" t="n">
        <v>4.28</v>
      </c>
      <c r="T107" s="9" t="n">
        <f aca="false">(S107-S106)/S106</f>
        <v>-0.00233100233100228</v>
      </c>
      <c r="U107" s="13" t="n">
        <v>1.99</v>
      </c>
      <c r="V107" s="9" t="n">
        <f aca="false">(U107-U106)/U106</f>
        <v>-0.0478468899521529</v>
      </c>
      <c r="W107" s="0" t="n">
        <v>1.3054</v>
      </c>
      <c r="X107" s="23" t="n">
        <f aca="false">(W107-W106)/W106</f>
        <v>-0.0371026038209043</v>
      </c>
      <c r="Y107" s="0" t="n">
        <v>1.5468</v>
      </c>
      <c r="Z107" s="24" t="n">
        <f aca="false">(Y107-Y106)/Y106</f>
        <v>0.000258665287118584</v>
      </c>
    </row>
    <row r="108" customFormat="false" ht="13.8" hidden="false" customHeight="false" outlineLevel="0" collapsed="false">
      <c r="A108" s="8" t="n">
        <v>38362</v>
      </c>
      <c r="B108" s="0" t="n">
        <v>100.12</v>
      </c>
      <c r="C108" s="9" t="n">
        <f aca="false">(B108-B107)/B107</f>
        <v>-0.0192966989910863</v>
      </c>
      <c r="D108" s="0" t="n">
        <v>12.43</v>
      </c>
      <c r="E108" s="9" t="n">
        <f aca="false">(D108-D107)/D107</f>
        <v>-0.0785767234988881</v>
      </c>
      <c r="F108" s="0" t="n">
        <v>118.24</v>
      </c>
      <c r="G108" s="9" t="n">
        <f aca="false">(F108-F107)/F107</f>
        <v>-0.00168861870989533</v>
      </c>
      <c r="H108" s="0" t="n">
        <f aca="false">AVERAGE(F94:F107)</f>
        <v>116.921428571429</v>
      </c>
      <c r="I108" s="0" t="n">
        <f aca="false">AVERAGE(F101:F107)</f>
        <v>119.492857142857</v>
      </c>
      <c r="J108" s="0" t="n">
        <f aca="false">AVERAGE(F105:F107)</f>
        <v>120.026666666667</v>
      </c>
      <c r="K108" s="10" t="n">
        <v>44.07</v>
      </c>
      <c r="L108" s="9" t="n">
        <f aca="false">(K108-K107)/K107</f>
        <v>0.036453433678269</v>
      </c>
      <c r="M108" s="10" t="n">
        <v>42.07</v>
      </c>
      <c r="N108" s="9" t="n">
        <f aca="false">(M108-M107)/M107</f>
        <v>0.0573008293541091</v>
      </c>
      <c r="O108" s="0" t="n">
        <v>2.6</v>
      </c>
      <c r="P108" s="9" t="n">
        <f aca="false">(O108-O107)/O107</f>
        <v>0</v>
      </c>
      <c r="Q108" s="10" t="n">
        <v>1.12</v>
      </c>
      <c r="R108" s="9" t="n">
        <f aca="false">(Q108-Q107)/Q107</f>
        <v>0.00900900900900902</v>
      </c>
      <c r="S108" s="10" t="n">
        <v>4.25</v>
      </c>
      <c r="T108" s="9" t="n">
        <f aca="false">(S108-S107)/S107</f>
        <v>-0.00700934579439258</v>
      </c>
      <c r="U108" s="13" t="n">
        <v>1.94</v>
      </c>
      <c r="V108" s="9" t="n">
        <f aca="false">(U108-U107)/U107</f>
        <v>-0.0251256281407036</v>
      </c>
      <c r="W108" s="0" t="n">
        <v>1.3108</v>
      </c>
      <c r="X108" s="23" t="n">
        <f aca="false">(W108-W107)/W107</f>
        <v>0.00413666309177269</v>
      </c>
      <c r="Y108" s="0" t="n">
        <v>1.5478</v>
      </c>
      <c r="Z108" s="24" t="n">
        <f aca="false">(Y108-Y107)/Y107</f>
        <v>0.00064649599172478</v>
      </c>
    </row>
    <row r="109" customFormat="false" ht="13.8" hidden="false" customHeight="false" outlineLevel="0" collapsed="false">
      <c r="A109" s="8" t="n">
        <v>38370</v>
      </c>
      <c r="B109" s="0" t="n">
        <v>100.09</v>
      </c>
      <c r="C109" s="9" t="n">
        <f aca="false">(B109-B108)/B108</f>
        <v>-0.000299640431482233</v>
      </c>
      <c r="D109" s="0" t="n">
        <v>14.36</v>
      </c>
      <c r="E109" s="9" t="n">
        <f aca="false">(D109-D108)/D108</f>
        <v>0.15526950925181</v>
      </c>
      <c r="F109" s="0" t="n">
        <v>116.78</v>
      </c>
      <c r="G109" s="9" t="n">
        <f aca="false">(F109-F108)/F108</f>
        <v>-0.0123477672530446</v>
      </c>
      <c r="H109" s="0" t="n">
        <f aca="false">AVERAGE(F95:F108)</f>
        <v>117.330714285714</v>
      </c>
      <c r="I109" s="0" t="n">
        <f aca="false">AVERAGE(F102:F108)</f>
        <v>119.477142857143</v>
      </c>
      <c r="J109" s="0" t="n">
        <f aca="false">AVERAGE(F106:F108)</f>
        <v>119.183333333333</v>
      </c>
      <c r="K109" s="10" t="n">
        <v>46.79</v>
      </c>
      <c r="L109" s="9" t="n">
        <f aca="false">(K109-K108)/K108</f>
        <v>0.0617199909235307</v>
      </c>
      <c r="M109" s="10" t="n">
        <v>44.59</v>
      </c>
      <c r="N109" s="9" t="n">
        <f aca="false">(M109-M108)/M108</f>
        <v>0.0599001663893512</v>
      </c>
      <c r="O109" s="0" t="n">
        <v>2.54</v>
      </c>
      <c r="P109" s="9" t="n">
        <f aca="false">(O109-O108)/O108</f>
        <v>-0.0230769230769231</v>
      </c>
      <c r="Q109" s="10" t="n">
        <v>1.16</v>
      </c>
      <c r="R109" s="9" t="n">
        <f aca="false">(Q109-Q108)/Q108</f>
        <v>0.0357142857142855</v>
      </c>
      <c r="S109" s="10" t="n">
        <v>4.19</v>
      </c>
      <c r="T109" s="9" t="n">
        <f aca="false">(S109-S108)/S108</f>
        <v>-0.0141176470588234</v>
      </c>
      <c r="U109" s="13" t="n">
        <v>1.86</v>
      </c>
      <c r="V109" s="9" t="n">
        <f aca="false">(U109-U108)/U108</f>
        <v>-0.0412371134020617</v>
      </c>
      <c r="W109" s="0" t="n">
        <v>1.306</v>
      </c>
      <c r="X109" s="23" t="n">
        <f aca="false">(W109-W108)/W108</f>
        <v>-0.00366188587122362</v>
      </c>
      <c r="Y109" s="0" t="n">
        <v>1.547</v>
      </c>
      <c r="Z109" s="24" t="n">
        <f aca="false">(Y109-Y108)/Y108</f>
        <v>-0.000516862643752509</v>
      </c>
    </row>
    <row r="110" customFormat="false" ht="13.8" hidden="false" customHeight="false" outlineLevel="0" collapsed="false">
      <c r="A110" s="8" t="n">
        <v>38376</v>
      </c>
      <c r="B110" s="0" t="n">
        <v>99.75</v>
      </c>
      <c r="C110" s="9" t="n">
        <f aca="false">(B110-B109)/B109</f>
        <v>-0.00339694275152366</v>
      </c>
      <c r="D110" s="0" t="n">
        <v>13.24</v>
      </c>
      <c r="E110" s="9" t="n">
        <f aca="false">(D110-D109)/D109</f>
        <v>-0.0779944289693593</v>
      </c>
      <c r="F110" s="0" t="n">
        <v>117.43</v>
      </c>
      <c r="G110" s="9" t="n">
        <f aca="false">(F110-F109)/F109</f>
        <v>0.00556602157903756</v>
      </c>
      <c r="H110" s="0" t="n">
        <f aca="false">AVERAGE(F96:F109)</f>
        <v>117.725</v>
      </c>
      <c r="I110" s="0" t="n">
        <f aca="false">AVERAGE(F103:F109)</f>
        <v>119.124285714286</v>
      </c>
      <c r="J110" s="0" t="n">
        <f aca="false">AVERAGE(F107:F109)</f>
        <v>117.82</v>
      </c>
      <c r="K110" s="10" t="n">
        <v>47.85</v>
      </c>
      <c r="L110" s="9" t="n">
        <f aca="false">(K110-K109)/K109</f>
        <v>0.022654413336183</v>
      </c>
      <c r="M110" s="10" t="n">
        <v>45.08</v>
      </c>
      <c r="N110" s="9" t="n">
        <f aca="false">(M110-M109)/M109</f>
        <v>0.0109890109890109</v>
      </c>
      <c r="O110" s="0" t="n">
        <v>2.57</v>
      </c>
      <c r="P110" s="9" t="n">
        <f aca="false">(O110-O109)/O109</f>
        <v>0.0118110236220473</v>
      </c>
      <c r="Q110" s="10" t="n">
        <v>1.14</v>
      </c>
      <c r="R110" s="9" t="n">
        <f aca="false">(Q110-Q109)/Q109</f>
        <v>-0.0172413793103448</v>
      </c>
      <c r="S110" s="10" t="n">
        <v>4.19</v>
      </c>
      <c r="T110" s="9" t="n">
        <f aca="false">(S110-S109)/S109</f>
        <v>0</v>
      </c>
      <c r="U110" s="13" t="n">
        <v>1.81</v>
      </c>
      <c r="V110" s="9" t="n">
        <f aca="false">(U110-U109)/U109</f>
        <v>-0.0268817204301074</v>
      </c>
      <c r="W110" s="0" t="n">
        <v>1.304</v>
      </c>
      <c r="X110" s="23" t="n">
        <f aca="false">(W110-W109)/W109</f>
        <v>-0.00153139356814702</v>
      </c>
      <c r="Y110" s="0" t="n">
        <v>1.5465</v>
      </c>
      <c r="Z110" s="24" t="n">
        <f aca="false">(Y110-Y109)/Y109</f>
        <v>-0.000323206205559111</v>
      </c>
    </row>
    <row r="111" customFormat="false" ht="13.8" hidden="false" customHeight="false" outlineLevel="0" collapsed="false">
      <c r="A111" s="8" t="n">
        <v>38383</v>
      </c>
      <c r="B111" s="0" t="n">
        <v>103.64</v>
      </c>
      <c r="C111" s="9" t="n">
        <f aca="false">(B111-B110)/B110</f>
        <v>0.0389974937343358</v>
      </c>
      <c r="D111" s="0" t="n">
        <v>11.21</v>
      </c>
      <c r="E111" s="9" t="n">
        <f aca="false">(D111-D110)/D110</f>
        <v>-0.153323262839879</v>
      </c>
      <c r="F111" s="0" t="n">
        <v>120.23</v>
      </c>
      <c r="G111" s="9" t="n">
        <f aca="false">(F111-F110)/F110</f>
        <v>0.0238439921655454</v>
      </c>
      <c r="H111" s="0" t="n">
        <f aca="false">AVERAGE(F97:F110)</f>
        <v>118.256428571429</v>
      </c>
      <c r="I111" s="0" t="n">
        <f aca="false">AVERAGE(F104:F110)</f>
        <v>118.852857142857</v>
      </c>
      <c r="J111" s="0" t="n">
        <f aca="false">AVERAGE(F108:F110)</f>
        <v>117.483333333333</v>
      </c>
      <c r="K111" s="10" t="n">
        <v>48.56</v>
      </c>
      <c r="L111" s="9" t="n">
        <f aca="false">(K111-K110)/K110</f>
        <v>0.0148380355276907</v>
      </c>
      <c r="M111" s="10" t="n">
        <v>45.82</v>
      </c>
      <c r="N111" s="9" t="n">
        <f aca="false">(M111-M110)/M110</f>
        <v>0.0164152617568767</v>
      </c>
      <c r="O111" s="0" t="n">
        <v>2.57</v>
      </c>
      <c r="P111" s="9" t="n">
        <f aca="false">(O111-O110)/O110</f>
        <v>0</v>
      </c>
      <c r="Q111" s="10" t="n">
        <v>1.15</v>
      </c>
      <c r="R111" s="9" t="n">
        <f aca="false">(Q111-Q110)/Q110</f>
        <v>0.00877192982456141</v>
      </c>
      <c r="S111" s="10" t="n">
        <v>4.14</v>
      </c>
      <c r="T111" s="9" t="n">
        <f aca="false">(S111-S110)/S110</f>
        <v>-0.0119331742243438</v>
      </c>
      <c r="U111" s="13" t="n">
        <v>1.68</v>
      </c>
      <c r="V111" s="9" t="n">
        <f aca="false">(U111-U110)/U110</f>
        <v>-0.0718232044198899</v>
      </c>
      <c r="W111" s="0" t="n">
        <v>1.2875</v>
      </c>
      <c r="X111" s="23" t="n">
        <f aca="false">(W111-W110)/W110</f>
        <v>-0.0126533742331288</v>
      </c>
      <c r="Y111" s="0" t="n">
        <v>1.558</v>
      </c>
      <c r="Z111" s="24" t="n">
        <f aca="false">(Y111-Y110)/Y110</f>
        <v>0.00743614613643716</v>
      </c>
    </row>
    <row r="112" customFormat="false" ht="13.8" hidden="false" customHeight="false" outlineLevel="0" collapsed="false">
      <c r="A112" s="8" t="n">
        <v>38390</v>
      </c>
      <c r="B112" s="0" t="n">
        <v>102.93</v>
      </c>
      <c r="C112" s="9" t="n">
        <f aca="false">(B112-B111)/B111</f>
        <v>-0.00685063681976065</v>
      </c>
      <c r="D112" s="0" t="n">
        <v>11.43</v>
      </c>
      <c r="E112" s="9" t="n">
        <f aca="false">(D112-D111)/D111</f>
        <v>0.0196253345227474</v>
      </c>
      <c r="F112" s="0" t="n">
        <v>120.77</v>
      </c>
      <c r="G112" s="9" t="n">
        <f aca="false">(F112-F111)/F111</f>
        <v>0.00449139149962565</v>
      </c>
      <c r="H112" s="0" t="n">
        <f aca="false">AVERAGE(F98:F111)</f>
        <v>118.758571428571</v>
      </c>
      <c r="I112" s="0" t="n">
        <f aca="false">AVERAGE(F105:F111)</f>
        <v>118.965714285714</v>
      </c>
      <c r="J112" s="0" t="n">
        <f aca="false">AVERAGE(F109:F111)</f>
        <v>118.146666666667</v>
      </c>
      <c r="K112" s="10" t="n">
        <v>46.97</v>
      </c>
      <c r="L112" s="9" t="n">
        <f aca="false">(K112-K111)/K111</f>
        <v>-0.0327429983525536</v>
      </c>
      <c r="M112" s="10" t="n">
        <v>44.04</v>
      </c>
      <c r="N112" s="9" t="n">
        <f aca="false">(M112-M111)/M111</f>
        <v>-0.0388476647752074</v>
      </c>
      <c r="O112" s="0" t="n">
        <v>2.64</v>
      </c>
      <c r="P112" s="9" t="n">
        <f aca="false">(O112-O111)/O111</f>
        <v>0.027237354085603</v>
      </c>
      <c r="Q112" s="10" t="n">
        <v>1.02</v>
      </c>
      <c r="R112" s="9" t="n">
        <f aca="false">(Q112-Q111)/Q111</f>
        <v>-0.113043478260869</v>
      </c>
      <c r="S112" s="10" t="n">
        <v>4.06</v>
      </c>
      <c r="T112" s="9" t="n">
        <f aca="false">(S112-S111)/S111</f>
        <v>-0.0193236714975846</v>
      </c>
      <c r="U112" s="13" t="n">
        <v>1.58</v>
      </c>
      <c r="V112" s="9" t="n">
        <f aca="false">(U112-U111)/U111</f>
        <v>-0.0595238095238096</v>
      </c>
      <c r="W112" s="0" t="n">
        <v>1.2869</v>
      </c>
      <c r="X112" s="23" t="n">
        <f aca="false">(W112-W111)/W111</f>
        <v>-0.000466019417475849</v>
      </c>
      <c r="Y112" s="0" t="n">
        <v>1.557</v>
      </c>
      <c r="Z112" s="24" t="n">
        <f aca="false">(Y112-Y111)/Y111</f>
        <v>-0.000641848523748467</v>
      </c>
    </row>
    <row r="113" customFormat="false" ht="13.8" hidden="false" customHeight="false" outlineLevel="0" collapsed="false">
      <c r="A113" s="8" t="n">
        <v>38397</v>
      </c>
      <c r="B113" s="0" t="n">
        <v>100.62</v>
      </c>
      <c r="C113" s="9" t="n">
        <f aca="false">(B113-B112)/B112</f>
        <v>-0.0224424366074031</v>
      </c>
      <c r="D113" s="0" t="n">
        <v>11.18</v>
      </c>
      <c r="E113" s="9" t="n">
        <f aca="false">(D113-D112)/D112</f>
        <v>-0.0218722659667542</v>
      </c>
      <c r="F113" s="0" t="n">
        <v>120.39</v>
      </c>
      <c r="G113" s="9" t="n">
        <f aca="false">(F113-F112)/F112</f>
        <v>-0.00314647677403325</v>
      </c>
      <c r="H113" s="0" t="n">
        <f aca="false">AVERAGE(F99:F112)</f>
        <v>119.007857142857</v>
      </c>
      <c r="I113" s="0" t="n">
        <f aca="false">AVERAGE(F106:F112)</f>
        <v>118.965714285714</v>
      </c>
      <c r="J113" s="0" t="n">
        <f aca="false">AVERAGE(F110:F112)</f>
        <v>119.476666666667</v>
      </c>
      <c r="K113" s="10" t="n">
        <v>46.08</v>
      </c>
      <c r="L113" s="9" t="n">
        <f aca="false">(K113-K112)/K112</f>
        <v>-0.0189482648499042</v>
      </c>
      <c r="M113" s="10" t="n">
        <v>43.29</v>
      </c>
      <c r="N113" s="9" t="n">
        <f aca="false">(M113-M112)/M112</f>
        <v>-0.0170299727520436</v>
      </c>
      <c r="O113" s="0" t="n">
        <v>2.71</v>
      </c>
      <c r="P113" s="9" t="n">
        <f aca="false">(O113-O112)/O112</f>
        <v>0.0265151515151515</v>
      </c>
      <c r="Q113" s="10" t="n">
        <v>1.06</v>
      </c>
      <c r="R113" s="9" t="n">
        <f aca="false">(Q113-Q112)/Q112</f>
        <v>0.0392156862745098</v>
      </c>
      <c r="S113" s="10" t="n">
        <v>4.16</v>
      </c>
      <c r="T113" s="9" t="n">
        <f aca="false">(S113-S112)/S112</f>
        <v>0.0246305418719213</v>
      </c>
      <c r="U113" s="13" t="n">
        <v>1.62</v>
      </c>
      <c r="V113" s="9" t="n">
        <f aca="false">(U113-U112)/U112</f>
        <v>0.0253164556962028</v>
      </c>
      <c r="W113" s="0" t="n">
        <v>1.307</v>
      </c>
      <c r="X113" s="23" t="n">
        <f aca="false">(W113-W112)/W112</f>
        <v>0.0156189292097288</v>
      </c>
      <c r="Y113" s="0" t="n">
        <v>1.5455</v>
      </c>
      <c r="Z113" s="24" t="n">
        <f aca="false">(Y113-Y112)/Y112</f>
        <v>-0.00738599871547838</v>
      </c>
    </row>
    <row r="114" customFormat="false" ht="13.8" hidden="false" customHeight="false" outlineLevel="0" collapsed="false">
      <c r="A114" s="8" t="n">
        <v>38405</v>
      </c>
      <c r="B114" s="0" t="n">
        <v>101.32</v>
      </c>
      <c r="C114" s="9" t="n">
        <f aca="false">(B114-B113)/B113</f>
        <v>0.00695686742198359</v>
      </c>
      <c r="D114" s="0" t="n">
        <v>11.49</v>
      </c>
      <c r="E114" s="9" t="n">
        <f aca="false">(D114-D113)/D113</f>
        <v>0.0277280858676208</v>
      </c>
      <c r="F114" s="0" t="n">
        <v>121.43</v>
      </c>
      <c r="G114" s="9" t="n">
        <f aca="false">(F114-F113)/F113</f>
        <v>0.00863859124512008</v>
      </c>
      <c r="H114" s="0" t="n">
        <f aca="false">AVERAGE(F100:F113)</f>
        <v>119.122142857143</v>
      </c>
      <c r="I114" s="0" t="n">
        <f aca="false">AVERAGE(F107:F113)</f>
        <v>118.897142857143</v>
      </c>
      <c r="J114" s="0" t="n">
        <f aca="false">AVERAGE(F111:F113)</f>
        <v>120.463333333333</v>
      </c>
      <c r="K114" s="10" t="n">
        <v>47.82</v>
      </c>
      <c r="L114" s="9" t="n">
        <f aca="false">(K114-K113)/K113</f>
        <v>0.0377604166666667</v>
      </c>
      <c r="M114" s="10" t="n">
        <v>45.22</v>
      </c>
      <c r="N114" s="9" t="n">
        <f aca="false">(M114-M113)/M113</f>
        <v>0.0445830445830446</v>
      </c>
      <c r="O114" s="0" t="n">
        <v>2.8</v>
      </c>
      <c r="P114" s="9" t="n">
        <f aca="false">(O114-O113)/O113</f>
        <v>0.033210332103321</v>
      </c>
      <c r="Q114" s="10" t="n">
        <v>1.09</v>
      </c>
      <c r="R114" s="9" t="n">
        <f aca="false">(Q114-Q113)/Q113</f>
        <v>0.0283018867924529</v>
      </c>
      <c r="S114" s="10" t="n">
        <v>4.28</v>
      </c>
      <c r="T114" s="9" t="n">
        <f aca="false">(S114-S113)/S113</f>
        <v>0.0288461538461539</v>
      </c>
      <c r="U114" s="13" t="n">
        <v>1.63</v>
      </c>
      <c r="V114" s="9" t="n">
        <f aca="false">(U114-U113)/U113</f>
        <v>0.00617283950617298</v>
      </c>
      <c r="W114" s="0" t="n">
        <v>1.3243</v>
      </c>
      <c r="X114" s="23" t="n">
        <f aca="false">(W114-W113)/W113</f>
        <v>0.0132364192807958</v>
      </c>
      <c r="Y114" s="0" t="n">
        <v>1.54</v>
      </c>
      <c r="Z114" s="24" t="n">
        <f aca="false">(Y114-Y113)/Y113</f>
        <v>-0.00355871886121</v>
      </c>
    </row>
    <row r="115" customFormat="false" ht="13.8" hidden="false" customHeight="false" outlineLevel="0" collapsed="false">
      <c r="A115" s="8" t="n">
        <v>38411</v>
      </c>
      <c r="B115" s="0" t="n">
        <v>102.18</v>
      </c>
      <c r="C115" s="9" t="n">
        <f aca="false">(B115-B114)/B114</f>
        <v>0.00848795894196618</v>
      </c>
      <c r="D115" s="0" t="n">
        <v>11.94</v>
      </c>
      <c r="E115" s="9" t="n">
        <f aca="false">(D115-D114)/D114</f>
        <v>0.0391644908616187</v>
      </c>
      <c r="F115" s="0" t="n">
        <v>122.73</v>
      </c>
      <c r="G115" s="9" t="n">
        <f aca="false">(F115-F114)/F114</f>
        <v>0.0107057564028658</v>
      </c>
      <c r="H115" s="0" t="n">
        <f aca="false">AVERAGE(F101:F114)</f>
        <v>119.408571428571</v>
      </c>
      <c r="I115" s="0" t="n">
        <f aca="false">AVERAGE(F108:F114)</f>
        <v>119.324285714286</v>
      </c>
      <c r="J115" s="0" t="n">
        <f aca="false">AVERAGE(F112:F114)</f>
        <v>120.863333333333</v>
      </c>
      <c r="K115" s="10" t="n">
        <v>51.75</v>
      </c>
      <c r="L115" s="9" t="n">
        <f aca="false">(K115-K114)/K114</f>
        <v>0.0821831869510665</v>
      </c>
      <c r="M115" s="10" t="n">
        <v>48.23</v>
      </c>
      <c r="N115" s="9" t="n">
        <f aca="false">(M115-M114)/M114</f>
        <v>0.06656346749226</v>
      </c>
      <c r="O115" s="0" t="n">
        <v>2.85</v>
      </c>
      <c r="P115" s="9" t="n">
        <f aca="false">(O115-O114)/O114</f>
        <v>0.017857142857143</v>
      </c>
      <c r="Q115" s="10" t="n">
        <v>1.15</v>
      </c>
      <c r="R115" s="9" t="n">
        <f aca="false">(Q115-Q114)/Q114</f>
        <v>0.0550458715596329</v>
      </c>
      <c r="S115" s="10" t="n">
        <v>4.37</v>
      </c>
      <c r="T115" s="9" t="n">
        <f aca="false">(S115-S114)/S114</f>
        <v>0.0210280373831775</v>
      </c>
      <c r="U115" s="13" t="n">
        <v>1.67</v>
      </c>
      <c r="V115" s="9" t="n">
        <f aca="false">(U115-U114)/U114</f>
        <v>0.0245398773006132</v>
      </c>
      <c r="W115" s="0" t="n">
        <v>1.3255</v>
      </c>
      <c r="X115" s="23" t="n">
        <f aca="false">(W115-W114)/W114</f>
        <v>0.000906139092350576</v>
      </c>
      <c r="Y115" s="0" t="n">
        <v>1.5474</v>
      </c>
      <c r="Z115" s="24" t="n">
        <f aca="false">(Y115-Y114)/Y114</f>
        <v>0.00480519480519485</v>
      </c>
    </row>
    <row r="116" customFormat="false" ht="13.8" hidden="false" customHeight="false" outlineLevel="0" collapsed="false">
      <c r="A116" s="8" t="n">
        <v>38418</v>
      </c>
      <c r="B116" s="0" t="n">
        <v>100.05</v>
      </c>
      <c r="C116" s="9" t="n">
        <f aca="false">(B116-B115)/B115</f>
        <v>-0.0208455666470935</v>
      </c>
      <c r="D116" s="0" t="n">
        <v>12.8</v>
      </c>
      <c r="E116" s="9" t="n">
        <f aca="false">(D116-D115)/D115</f>
        <v>0.0720268006700169</v>
      </c>
      <c r="F116" s="0" t="n">
        <v>120.39</v>
      </c>
      <c r="G116" s="9" t="n">
        <f aca="false">(F116-F115)/F115</f>
        <v>-0.0190662429723784</v>
      </c>
      <c r="H116" s="0" t="n">
        <f aca="false">AVERAGE(F102:F115)</f>
        <v>119.721428571429</v>
      </c>
      <c r="I116" s="0" t="n">
        <f aca="false">AVERAGE(F109:F115)</f>
        <v>119.965714285714</v>
      </c>
      <c r="J116" s="0" t="n">
        <f aca="false">AVERAGE(F113:F115)</f>
        <v>121.516666666667</v>
      </c>
      <c r="K116" s="10" t="n">
        <v>52.74</v>
      </c>
      <c r="L116" s="9" t="n">
        <f aca="false">(K116-K115)/K115</f>
        <v>0.0191304347826087</v>
      </c>
      <c r="M116" s="10" t="n">
        <v>51.33</v>
      </c>
      <c r="N116" s="9" t="n">
        <f aca="false">(M116-M115)/M115</f>
        <v>0.0642753472942152</v>
      </c>
      <c r="O116" s="0" t="n">
        <v>2.89</v>
      </c>
      <c r="P116" s="9" t="n">
        <f aca="false">(O116-O115)/O115</f>
        <v>0.0140350877192984</v>
      </c>
      <c r="Q116" s="10" t="n">
        <v>1.22</v>
      </c>
      <c r="R116" s="9" t="n">
        <f aca="false">(Q116-Q115)/Q115</f>
        <v>0.0608695652173914</v>
      </c>
      <c r="S116" s="10" t="n">
        <v>4.45</v>
      </c>
      <c r="T116" s="9" t="n">
        <f aca="false">(S116-S115)/S115</f>
        <v>0.0183066361556064</v>
      </c>
      <c r="U116" s="13" t="n">
        <v>1.75</v>
      </c>
      <c r="V116" s="9" t="n">
        <f aca="false">(U116-U115)/U115</f>
        <v>0.0479041916167665</v>
      </c>
      <c r="W116" s="0" t="n">
        <v>1.346</v>
      </c>
      <c r="X116" s="23" t="n">
        <f aca="false">(W116-W115)/W115</f>
        <v>0.0154658619388911</v>
      </c>
      <c r="Y116" s="0" t="n">
        <v>1.5485</v>
      </c>
      <c r="Z116" s="24" t="n">
        <f aca="false">(Y116-Y115)/Y115</f>
        <v>0.000710869846193537</v>
      </c>
    </row>
    <row r="117" customFormat="false" ht="13.8" hidden="false" customHeight="false" outlineLevel="0" collapsed="false">
      <c r="A117" s="8" t="n">
        <v>38425</v>
      </c>
      <c r="B117" s="0" t="n">
        <v>98.13</v>
      </c>
      <c r="C117" s="9" t="n">
        <f aca="false">(B117-B116)/B116</f>
        <v>-0.0191904047976012</v>
      </c>
      <c r="D117" s="0" t="n">
        <v>13.14</v>
      </c>
      <c r="E117" s="9" t="n">
        <f aca="false">(D117-D116)/D116</f>
        <v>0.0265625</v>
      </c>
      <c r="F117" s="0" t="n">
        <v>118.54</v>
      </c>
      <c r="G117" s="9" t="n">
        <f aca="false">(F117-F116)/F116</f>
        <v>-0.0153667248110308</v>
      </c>
      <c r="H117" s="0" t="n">
        <f aca="false">AVERAGE(F103:F116)</f>
        <v>119.802857142857</v>
      </c>
      <c r="I117" s="0" t="n">
        <f aca="false">AVERAGE(F110:F116)</f>
        <v>120.481428571429</v>
      </c>
      <c r="J117" s="0" t="n">
        <f aca="false">AVERAGE(F114:F116)</f>
        <v>121.516666666667</v>
      </c>
      <c r="K117" s="10" t="n">
        <v>54.22</v>
      </c>
      <c r="L117" s="9" t="n">
        <f aca="false">(K117-K116)/K116</f>
        <v>0.0280621918847174</v>
      </c>
      <c r="M117" s="10" t="n">
        <v>53.09</v>
      </c>
      <c r="N117" s="9" t="n">
        <f aca="false">(M117-M116)/M116</f>
        <v>0.0342879407753751</v>
      </c>
      <c r="O117" s="0" t="n">
        <v>2.89</v>
      </c>
      <c r="P117" s="9" t="n">
        <f aca="false">(O117-O116)/O116</f>
        <v>0</v>
      </c>
      <c r="Q117" s="10" t="n">
        <v>1.29</v>
      </c>
      <c r="R117" s="9" t="n">
        <f aca="false">(Q117-Q116)/Q116</f>
        <v>0.0573770491803279</v>
      </c>
      <c r="S117" s="10" t="n">
        <v>4.51</v>
      </c>
      <c r="T117" s="9" t="n">
        <f aca="false">(S117-S116)/S116</f>
        <v>0.0134831460674156</v>
      </c>
      <c r="U117" s="13" t="n">
        <v>1.77</v>
      </c>
      <c r="V117" s="9" t="n">
        <f aca="false">(U117-U116)/U116</f>
        <v>0.0114285714285712</v>
      </c>
      <c r="W117" s="0" t="n">
        <v>1.331</v>
      </c>
      <c r="X117" s="23" t="n">
        <f aca="false">(W117-W116)/W116</f>
        <v>-0.011144130757801</v>
      </c>
      <c r="Y117" s="0" t="n">
        <v>1.551</v>
      </c>
      <c r="Z117" s="24" t="n">
        <f aca="false">(Y117-Y116)/Y116</f>
        <v>0.00161446561188243</v>
      </c>
    </row>
    <row r="118" customFormat="false" ht="13.8" hidden="false" customHeight="false" outlineLevel="0" collapsed="false">
      <c r="A118" s="8" t="n">
        <v>38432</v>
      </c>
      <c r="B118" s="0" t="n">
        <v>95.3</v>
      </c>
      <c r="C118" s="9" t="n">
        <f aca="false">(B118-B117)/B117</f>
        <v>-0.0288392948130031</v>
      </c>
      <c r="D118" s="0" t="n">
        <v>13.42</v>
      </c>
      <c r="E118" s="9" t="n">
        <f aca="false">(D118-D117)/D117</f>
        <v>0.0213089802130898</v>
      </c>
      <c r="F118" s="0" t="n">
        <v>117.14</v>
      </c>
      <c r="G118" s="9" t="n">
        <f aca="false">(F118-F117)/F117</f>
        <v>-0.0118103593723638</v>
      </c>
      <c r="H118" s="0" t="n">
        <f aca="false">AVERAGE(F104:F117)</f>
        <v>119.746428571429</v>
      </c>
      <c r="I118" s="0" t="n">
        <f aca="false">AVERAGE(F111:F117)</f>
        <v>120.64</v>
      </c>
      <c r="J118" s="0" t="n">
        <f aca="false">AVERAGE(F115:F117)</f>
        <v>120.553333333333</v>
      </c>
      <c r="K118" s="10" t="n">
        <v>55.93</v>
      </c>
      <c r="L118" s="9" t="n">
        <f aca="false">(K118-K117)/K117</f>
        <v>0.0315381777941719</v>
      </c>
      <c r="M118" s="10" t="n">
        <v>54.85</v>
      </c>
      <c r="N118" s="9" t="n">
        <f aca="false">(M118-M117)/M117</f>
        <v>0.0331512525899416</v>
      </c>
      <c r="O118" s="0" t="n">
        <v>2.88</v>
      </c>
      <c r="P118" s="9" t="n">
        <f aca="false">(O118-O117)/O117</f>
        <v>-0.00346020761245667</v>
      </c>
      <c r="Q118" s="10" t="n">
        <v>1.39</v>
      </c>
      <c r="R118" s="9" t="n">
        <f aca="false">(Q118-Q117)/Q117</f>
        <v>0.0775193798449613</v>
      </c>
      <c r="S118" s="10" t="n">
        <v>4.59</v>
      </c>
      <c r="T118" s="9" t="n">
        <f aca="false">(S118-S117)/S117</f>
        <v>0.0177383592017739</v>
      </c>
      <c r="U118" s="13" t="n">
        <v>1.79</v>
      </c>
      <c r="V118" s="9" t="n">
        <f aca="false">(U118-U117)/U117</f>
        <v>0.0112994350282489</v>
      </c>
      <c r="W118" s="0" t="n">
        <v>1.2954</v>
      </c>
      <c r="X118" s="23" t="n">
        <f aca="false">(W118-W117)/W117</f>
        <v>-0.0267468069120961</v>
      </c>
      <c r="Y118" s="0" t="n">
        <v>1.5542</v>
      </c>
      <c r="Z118" s="24" t="n">
        <f aca="false">(Y118-Y117)/Y117</f>
        <v>0.00206318504190851</v>
      </c>
    </row>
    <row r="119" customFormat="false" ht="13.8" hidden="false" customHeight="false" outlineLevel="0" collapsed="false">
      <c r="A119" s="8" t="n">
        <v>38439</v>
      </c>
      <c r="B119" s="0" t="n">
        <v>95.84</v>
      </c>
      <c r="C119" s="9" t="n">
        <f aca="false">(B119-B118)/B118</f>
        <v>0.00566631689401895</v>
      </c>
      <c r="D119" s="0" t="n">
        <v>14.09</v>
      </c>
      <c r="E119" s="9" t="n">
        <f aca="false">(D119-D118)/D118</f>
        <v>0.0499254843517139</v>
      </c>
      <c r="F119" s="0" t="n">
        <v>117.43</v>
      </c>
      <c r="G119" s="9" t="n">
        <f aca="false">(F119-F118)/F118</f>
        <v>0.00247567013829611</v>
      </c>
      <c r="H119" s="0" t="n">
        <f aca="false">AVERAGE(F105:F118)</f>
        <v>119.582142857143</v>
      </c>
      <c r="I119" s="0" t="n">
        <f aca="false">AVERAGE(F112:F118)</f>
        <v>120.198571428571</v>
      </c>
      <c r="J119" s="0" t="n">
        <f aca="false">AVERAGE(F116:F118)</f>
        <v>118.69</v>
      </c>
      <c r="K119" s="10" t="n">
        <v>52.95</v>
      </c>
      <c r="L119" s="9" t="n">
        <f aca="false">(K119-K118)/K118</f>
        <v>-0.0532808868228142</v>
      </c>
      <c r="M119" s="10" t="n">
        <v>53.76</v>
      </c>
      <c r="N119" s="9" t="n">
        <f aca="false">(M119-M118)/M118</f>
        <v>-0.0198723792160438</v>
      </c>
      <c r="O119" s="0" t="n">
        <v>2.85</v>
      </c>
      <c r="P119" s="9" t="n">
        <f aca="false">(O119-O118)/O118</f>
        <v>-0.0104166666666664</v>
      </c>
      <c r="Q119" s="10" t="n">
        <v>1.39</v>
      </c>
      <c r="R119" s="9" t="n">
        <f aca="false">(Q119-Q118)/Q118</f>
        <v>0</v>
      </c>
      <c r="S119" s="10" t="n">
        <v>4.55</v>
      </c>
      <c r="T119" s="9" t="n">
        <f aca="false">(S119-S118)/S118</f>
        <v>-0.00871459694989107</v>
      </c>
      <c r="U119" s="13" t="n">
        <v>1.79</v>
      </c>
      <c r="V119" s="9" t="n">
        <f aca="false">(U119-U118)/U118</f>
        <v>0</v>
      </c>
      <c r="W119" s="0" t="n">
        <v>1.2906</v>
      </c>
      <c r="X119" s="23" t="n">
        <f aca="false">(W119-W118)/W118</f>
        <v>-0.00370541917554434</v>
      </c>
      <c r="Y119" s="0" t="n">
        <v>1.5536</v>
      </c>
      <c r="Z119" s="24" t="n">
        <f aca="false">(Y119-Y118)/Y118</f>
        <v>-0.000386050701325398</v>
      </c>
    </row>
    <row r="120" customFormat="false" ht="13.8" hidden="false" customHeight="false" outlineLevel="0" collapsed="false">
      <c r="A120" s="8" t="n">
        <v>38446</v>
      </c>
      <c r="B120" s="0" t="n">
        <v>96.59</v>
      </c>
      <c r="C120" s="9" t="n">
        <f aca="false">(B120-B119)/B119</f>
        <v>0.00782554257095159</v>
      </c>
      <c r="D120" s="0" t="n">
        <v>12.62</v>
      </c>
      <c r="E120" s="9" t="n">
        <f aca="false">(D120-D119)/D119</f>
        <v>-0.104329311568488</v>
      </c>
      <c r="F120" s="0" t="n">
        <v>118</v>
      </c>
      <c r="G120" s="9" t="n">
        <f aca="false">(F120-F119)/F119</f>
        <v>0.00485395554798598</v>
      </c>
      <c r="H120" s="0" t="n">
        <f aca="false">AVERAGE(F106:F119)</f>
        <v>119.343571428571</v>
      </c>
      <c r="I120" s="0" t="n">
        <f aca="false">AVERAGE(F113:F119)</f>
        <v>119.721428571429</v>
      </c>
      <c r="J120" s="0" t="n">
        <f aca="false">AVERAGE(F117:F119)</f>
        <v>117.703333333333</v>
      </c>
      <c r="K120" s="10" t="n">
        <v>54.97</v>
      </c>
      <c r="L120" s="9" t="n">
        <f aca="false">(K120-K119)/K119</f>
        <v>0.0381491973559961</v>
      </c>
      <c r="M120" s="10" t="n">
        <v>52.23</v>
      </c>
      <c r="N120" s="9" t="n">
        <f aca="false">(M120-M119)/M119</f>
        <v>-0.0284598214285714</v>
      </c>
      <c r="O120" s="0" t="n">
        <v>2.8</v>
      </c>
      <c r="P120" s="9" t="n">
        <f aca="false">(O120-O119)/O119</f>
        <v>-0.0175438596491231</v>
      </c>
      <c r="Q120" s="10" t="n">
        <v>1.33</v>
      </c>
      <c r="R120" s="9" t="n">
        <f aca="false">(Q120-Q119)/Q119</f>
        <v>-0.0431654676258993</v>
      </c>
      <c r="S120" s="10" t="n">
        <v>4.48</v>
      </c>
      <c r="T120" s="9" t="n">
        <f aca="false">(S120-S119)/S119</f>
        <v>-0.0153846153846153</v>
      </c>
      <c r="U120" s="13" t="n">
        <v>1.75</v>
      </c>
      <c r="V120" s="9" t="n">
        <f aca="false">(U120-U119)/U119</f>
        <v>-0.0223463687150836</v>
      </c>
      <c r="W120" s="0" t="n">
        <v>1.2923</v>
      </c>
      <c r="X120" s="23" t="n">
        <f aca="false">(W120-W119)/W119</f>
        <v>0.00131721679838837</v>
      </c>
      <c r="Y120" s="0" t="n">
        <v>1.5486</v>
      </c>
      <c r="Z120" s="24" t="n">
        <f aca="false">(Y120-Y119)/Y119</f>
        <v>-0.00321833161688988</v>
      </c>
    </row>
    <row r="121" customFormat="false" ht="13.8" hidden="false" customHeight="false" outlineLevel="0" collapsed="false">
      <c r="A121" s="8" t="n">
        <v>38453</v>
      </c>
      <c r="B121" s="0" t="n">
        <v>94.54</v>
      </c>
      <c r="C121" s="9" t="n">
        <f aca="false">(B121-B120)/B120</f>
        <v>-0.0212237291645098</v>
      </c>
      <c r="D121" s="0" t="n">
        <v>17.74</v>
      </c>
      <c r="E121" s="9" t="n">
        <f aca="false">(D121-D120)/D120</f>
        <v>0.405705229793978</v>
      </c>
      <c r="F121" s="0" t="n">
        <v>114.15</v>
      </c>
      <c r="G121" s="9" t="n">
        <f aca="false">(F121-F120)/F120</f>
        <v>-0.0326271186440677</v>
      </c>
      <c r="H121" s="0" t="n">
        <f aca="false">AVERAGE(F107:F120)</f>
        <v>119.138571428571</v>
      </c>
      <c r="I121" s="0" t="n">
        <f aca="false">AVERAGE(F114:F120)</f>
        <v>119.38</v>
      </c>
      <c r="J121" s="0" t="n">
        <f aca="false">AVERAGE(F118:F120)</f>
        <v>117.523333333333</v>
      </c>
      <c r="K121" s="10" t="n">
        <v>55.24</v>
      </c>
      <c r="L121" s="9" t="n">
        <f aca="false">(K121-K120)/K120</f>
        <v>0.00491177005639445</v>
      </c>
      <c r="M121" s="10" t="n">
        <v>53.79</v>
      </c>
      <c r="N121" s="9" t="n">
        <f aca="false">(M121-M120)/M120</f>
        <v>0.0298678920160828</v>
      </c>
      <c r="O121" s="0" t="n">
        <v>2.74</v>
      </c>
      <c r="P121" s="9" t="n">
        <f aca="false">(O121-O120)/O120</f>
        <v>-0.0214285714285716</v>
      </c>
      <c r="Q121" s="10" t="n">
        <v>1.28</v>
      </c>
      <c r="R121" s="9" t="n">
        <f aca="false">(Q121-Q120)/Q120</f>
        <v>-0.037593984962406</v>
      </c>
      <c r="S121" s="10" t="n">
        <v>4.37</v>
      </c>
      <c r="T121" s="9" t="n">
        <f aca="false">(S121-S120)/S120</f>
        <v>-0.0245535714285715</v>
      </c>
      <c r="U121" s="13" t="n">
        <v>1.65</v>
      </c>
      <c r="V121" s="9" t="n">
        <f aca="false">(U121-U120)/U120</f>
        <v>-0.0571428571428574</v>
      </c>
      <c r="W121" s="0" t="n">
        <v>1.2909</v>
      </c>
      <c r="X121" s="23" t="n">
        <f aca="false">(W121-W120)/W120</f>
        <v>-0.00108333978178447</v>
      </c>
      <c r="Y121" s="0" t="n">
        <v>1.5511</v>
      </c>
      <c r="Z121" s="24" t="n">
        <f aca="false">(Y121-Y120)/Y120</f>
        <v>0.00161436135864649</v>
      </c>
    </row>
    <row r="122" customFormat="false" ht="13.8" hidden="false" customHeight="false" outlineLevel="0" collapsed="false">
      <c r="A122" s="8" t="n">
        <v>38460</v>
      </c>
      <c r="B122" s="0" t="n">
        <v>95.16</v>
      </c>
      <c r="C122" s="9" t="n">
        <f aca="false">(B122-B121)/B121</f>
        <v>0.00655807065792247</v>
      </c>
      <c r="D122" s="0" t="n">
        <v>15.38</v>
      </c>
      <c r="E122" s="9" t="n">
        <f aca="false">(D122-D121)/D121</f>
        <v>-0.133032694475761</v>
      </c>
      <c r="F122" s="0" t="n">
        <v>115.57</v>
      </c>
      <c r="G122" s="9" t="n">
        <f aca="false">(F122-F121)/F121</f>
        <v>0.0124397722295224</v>
      </c>
      <c r="H122" s="0" t="n">
        <f aca="false">AVERAGE(F108:F121)</f>
        <v>118.832142857143</v>
      </c>
      <c r="I122" s="0" t="n">
        <f aca="false">AVERAGE(F115:F121)</f>
        <v>118.34</v>
      </c>
      <c r="J122" s="0" t="n">
        <f aca="false">AVERAGE(F119:F121)</f>
        <v>116.526666666667</v>
      </c>
      <c r="K122" s="10" t="n">
        <v>51.44</v>
      </c>
      <c r="L122" s="9" t="n">
        <f aca="false">(K122-K121)/K121</f>
        <v>-0.0687907313540913</v>
      </c>
      <c r="M122" s="10" t="n">
        <v>50.43</v>
      </c>
      <c r="N122" s="9" t="n">
        <f aca="false">(M122-M121)/M121</f>
        <v>-0.0624651422197434</v>
      </c>
      <c r="O122" s="0" t="n">
        <v>2.76</v>
      </c>
      <c r="P122" s="9" t="n">
        <f aca="false">(O122-O121)/O121</f>
        <v>0.00729927007299287</v>
      </c>
      <c r="Q122" s="10" t="n">
        <v>1.14</v>
      </c>
      <c r="R122" s="9" t="n">
        <f aca="false">(Q122-Q121)/Q121</f>
        <v>-0.109375</v>
      </c>
      <c r="S122" s="10" t="n">
        <v>4.26</v>
      </c>
      <c r="T122" s="9" t="n">
        <f aca="false">(S122-S121)/S121</f>
        <v>-0.0251716247139589</v>
      </c>
      <c r="U122" s="13" t="n">
        <v>1.42</v>
      </c>
      <c r="V122" s="9" t="n">
        <f aca="false">(U122-U121)/U121</f>
        <v>-0.139393939393939</v>
      </c>
      <c r="W122" s="0" t="n">
        <v>1.3065</v>
      </c>
      <c r="X122" s="23" t="n">
        <f aca="false">(W122-W121)/W121</f>
        <v>0.0120845921450152</v>
      </c>
      <c r="Y122" s="0" t="n">
        <v>1.5425</v>
      </c>
      <c r="Z122" s="24" t="n">
        <f aca="false">(Y122-Y121)/Y121</f>
        <v>-0.00554445232415701</v>
      </c>
    </row>
    <row r="123" customFormat="false" ht="13.8" hidden="false" customHeight="false" outlineLevel="0" collapsed="false">
      <c r="A123" s="8" t="n">
        <v>38467</v>
      </c>
      <c r="B123" s="0" t="n">
        <v>97.39</v>
      </c>
      <c r="C123" s="9" t="n">
        <f aca="false">(B123-B122)/B122</f>
        <v>0.0234342160571669</v>
      </c>
      <c r="D123" s="0" t="n">
        <v>15.31</v>
      </c>
      <c r="E123" s="9" t="n">
        <f aca="false">(D123-D122)/D122</f>
        <v>-0.00455136540962291</v>
      </c>
      <c r="F123" s="0" t="n">
        <v>115.75</v>
      </c>
      <c r="G123" s="9" t="n">
        <f aca="false">(F123-F122)/F122</f>
        <v>0.00155749762048981</v>
      </c>
      <c r="H123" s="0" t="n">
        <f aca="false">AVERAGE(F109:F122)</f>
        <v>118.641428571429</v>
      </c>
      <c r="I123" s="0" t="n">
        <f aca="false">AVERAGE(F116:F122)</f>
        <v>117.317142857143</v>
      </c>
      <c r="J123" s="0" t="n">
        <f aca="false">AVERAGE(F120:F122)</f>
        <v>115.906666666667</v>
      </c>
      <c r="K123" s="10" t="n">
        <v>52.39</v>
      </c>
      <c r="L123" s="9" t="n">
        <f aca="false">(K123-K122)/K122</f>
        <v>0.0184681181959565</v>
      </c>
      <c r="M123" s="10" t="n">
        <v>51.23</v>
      </c>
      <c r="N123" s="9" t="n">
        <f aca="false">(M123-M122)/M122</f>
        <v>0.015863573269879</v>
      </c>
      <c r="O123" s="0" t="n">
        <v>2.76</v>
      </c>
      <c r="P123" s="9" t="n">
        <f aca="false">(O123-O122)/O122</f>
        <v>0</v>
      </c>
      <c r="Q123" s="10" t="n">
        <v>1.15</v>
      </c>
      <c r="R123" s="9" t="n">
        <f aca="false">(Q123-Q122)/Q122</f>
        <v>0.00877192982456141</v>
      </c>
      <c r="S123" s="10" t="n">
        <v>4.24</v>
      </c>
      <c r="T123" s="9" t="n">
        <f aca="false">(S123-S122)/S122</f>
        <v>-0.00469483568075107</v>
      </c>
      <c r="U123" s="13" t="n">
        <v>1.39</v>
      </c>
      <c r="V123" s="9" t="n">
        <f aca="false">(U123-U122)/U122</f>
        <v>-0.0211267605633801</v>
      </c>
      <c r="W123" s="0" t="n">
        <v>1.2865</v>
      </c>
      <c r="X123" s="23" t="n">
        <f aca="false">(W123-W122)/W122</f>
        <v>-0.0153080750095676</v>
      </c>
      <c r="Y123" s="0" t="n">
        <v>1.539</v>
      </c>
      <c r="Z123" s="24" t="n">
        <f aca="false">(Y123-Y122)/Y122</f>
        <v>-0.0022690437601297</v>
      </c>
    </row>
    <row r="124" customFormat="false" ht="13.8" hidden="false" customHeight="false" outlineLevel="0" collapsed="false">
      <c r="A124" s="8" t="n">
        <v>38474</v>
      </c>
      <c r="B124" s="0" t="n">
        <v>97.69</v>
      </c>
      <c r="C124" s="9" t="n">
        <f aca="false">(B124-B123)/B123</f>
        <v>0.0030803983981928</v>
      </c>
      <c r="D124" s="0" t="n">
        <v>14.05</v>
      </c>
      <c r="E124" s="9" t="n">
        <f aca="false">(D124-D123)/D123</f>
        <v>-0.0822991508817766</v>
      </c>
      <c r="F124" s="0" t="n">
        <v>117.09</v>
      </c>
      <c r="G124" s="9" t="n">
        <f aca="false">(F124-F123)/F123</f>
        <v>0.0115766738660907</v>
      </c>
      <c r="H124" s="0" t="n">
        <f aca="false">AVERAGE(F110:F123)</f>
        <v>118.567857142857</v>
      </c>
      <c r="I124" s="0" t="n">
        <f aca="false">AVERAGE(F117:F123)</f>
        <v>116.654285714286</v>
      </c>
      <c r="J124" s="0" t="n">
        <f aca="false">AVERAGE(F121:F123)</f>
        <v>115.156666666667</v>
      </c>
      <c r="K124" s="10" t="n">
        <v>52</v>
      </c>
      <c r="L124" s="9" t="n">
        <f aca="false">(K124-K123)/K123</f>
        <v>-0.00744416873449133</v>
      </c>
      <c r="M124" s="10" t="n">
        <v>51.64</v>
      </c>
      <c r="N124" s="9" t="n">
        <f aca="false">(M124-M123)/M123</f>
        <v>0.00800312317001764</v>
      </c>
      <c r="O124" s="0" t="n">
        <v>2.66</v>
      </c>
      <c r="P124" s="9" t="n">
        <f aca="false">(O124-O123)/O123</f>
        <v>-0.036231884057971</v>
      </c>
      <c r="Q124" s="10" t="n">
        <v>1.22</v>
      </c>
      <c r="R124" s="9" t="n">
        <f aca="false">(Q124-Q123)/Q123</f>
        <v>0.0608695652173914</v>
      </c>
      <c r="S124" s="10" t="n">
        <v>4.22</v>
      </c>
      <c r="T124" s="9" t="n">
        <f aca="false">(S124-S123)/S123</f>
        <v>-0.00471698113207558</v>
      </c>
      <c r="U124" s="13" t="n">
        <v>1.4</v>
      </c>
      <c r="V124" s="9" t="n">
        <f aca="false">(U124-U123)/U123</f>
        <v>0.00719424460431639</v>
      </c>
      <c r="W124" s="0" t="n">
        <v>1.2825</v>
      </c>
      <c r="X124" s="23" t="n">
        <f aca="false">(W124-W123)/W123</f>
        <v>-0.00310921103769919</v>
      </c>
      <c r="Y124" s="0" t="n">
        <v>1.5472</v>
      </c>
      <c r="Z124" s="24" t="n">
        <f aca="false">(Y124-Y123)/Y123</f>
        <v>0.00532813515269655</v>
      </c>
    </row>
    <row r="125" customFormat="false" ht="13.8" hidden="false" customHeight="false" outlineLevel="0" collapsed="false">
      <c r="A125" s="8" t="n">
        <v>38481</v>
      </c>
      <c r="B125" s="0" t="n">
        <v>96.37</v>
      </c>
      <c r="C125" s="9" t="n">
        <f aca="false">(B125-B124)/B124</f>
        <v>-0.0135121302078001</v>
      </c>
      <c r="D125" s="0" t="n">
        <v>16.32</v>
      </c>
      <c r="E125" s="9" t="n">
        <f aca="false">(D125-D124)/D124</f>
        <v>0.161565836298932</v>
      </c>
      <c r="F125" s="0" t="n">
        <v>115.72</v>
      </c>
      <c r="G125" s="9" t="n">
        <f aca="false">(F125-F124)/F124</f>
        <v>-0.011700401400632</v>
      </c>
      <c r="H125" s="0" t="n">
        <f aca="false">AVERAGE(F111:F124)</f>
        <v>118.543571428571</v>
      </c>
      <c r="I125" s="0" t="n">
        <f aca="false">AVERAGE(F118:F124)</f>
        <v>116.447142857143</v>
      </c>
      <c r="J125" s="0" t="n">
        <f aca="false">AVERAGE(F122:F124)</f>
        <v>116.136666666667</v>
      </c>
      <c r="K125" s="10" t="n">
        <v>50.64</v>
      </c>
      <c r="L125" s="9" t="n">
        <f aca="false">(K125-K124)/K124</f>
        <v>-0.0261538461538461</v>
      </c>
      <c r="M125" s="10" t="n">
        <v>50.05</v>
      </c>
      <c r="N125" s="9" t="n">
        <f aca="false">(M125-M124)/M124</f>
        <v>-0.0307900852052673</v>
      </c>
      <c r="O125" s="0" t="n">
        <v>2.64</v>
      </c>
      <c r="P125" s="9" t="n">
        <f aca="false">(O125-O124)/O124</f>
        <v>-0.00751879699248121</v>
      </c>
      <c r="Q125" s="10" t="n">
        <v>1.27</v>
      </c>
      <c r="R125" s="9" t="n">
        <f aca="false">(Q125-Q124)/Q124</f>
        <v>0.0409836065573771</v>
      </c>
      <c r="S125" s="10" t="n">
        <v>4.21</v>
      </c>
      <c r="T125" s="9" t="n">
        <f aca="false">(S125-S124)/S124</f>
        <v>-0.00236966824644545</v>
      </c>
      <c r="U125" s="13" t="n">
        <v>1.39</v>
      </c>
      <c r="V125" s="9" t="n">
        <f aca="false">(U125-U124)/U124</f>
        <v>-0.00714285714285699</v>
      </c>
      <c r="W125" s="0" t="n">
        <v>1.2613</v>
      </c>
      <c r="X125" s="23" t="n">
        <f aca="false">(W125-W124)/W124</f>
        <v>-0.0165302144249512</v>
      </c>
      <c r="Y125" s="0" t="n">
        <v>1.545</v>
      </c>
      <c r="Z125" s="24" t="n">
        <f aca="false">(Y125-Y124)/Y124</f>
        <v>-0.0014219234746639</v>
      </c>
    </row>
    <row r="126" customFormat="false" ht="13.8" hidden="false" customHeight="false" outlineLevel="0" collapsed="false">
      <c r="A126" s="8" t="n">
        <v>38488</v>
      </c>
      <c r="B126" s="0" t="n">
        <v>99.63</v>
      </c>
      <c r="C126" s="9" t="n">
        <f aca="false">(B126-B125)/B125</f>
        <v>0.0338279547577046</v>
      </c>
      <c r="D126" s="0" t="n">
        <v>13.14</v>
      </c>
      <c r="E126" s="9" t="n">
        <f aca="false">(D126-D125)/D125</f>
        <v>-0.194852941176471</v>
      </c>
      <c r="F126" s="0" t="n">
        <v>119.12</v>
      </c>
      <c r="G126" s="9" t="n">
        <f aca="false">(F126-F125)/F125</f>
        <v>0.02938126512271</v>
      </c>
      <c r="H126" s="0" t="n">
        <f aca="false">AVERAGE(F112:F125)</f>
        <v>118.221428571429</v>
      </c>
      <c r="I126" s="0" t="n">
        <f aca="false">AVERAGE(F119:F125)</f>
        <v>116.244285714286</v>
      </c>
      <c r="J126" s="0" t="n">
        <f aca="false">AVERAGE(F123:F125)</f>
        <v>116.186666666667</v>
      </c>
      <c r="K126" s="10" t="n">
        <v>50.33</v>
      </c>
      <c r="L126" s="9" t="n">
        <f aca="false">(K126-K125)/K125</f>
        <v>-0.00612164296998425</v>
      </c>
      <c r="M126" s="10" t="n">
        <v>48.7</v>
      </c>
      <c r="N126" s="9" t="n">
        <f aca="false">(M126-M125)/M125</f>
        <v>-0.0269730269730269</v>
      </c>
      <c r="O126" s="0" t="n">
        <v>2.52</v>
      </c>
      <c r="P126" s="9" t="n">
        <f aca="false">(O126-O125)/O125</f>
        <v>-0.0454545454545455</v>
      </c>
      <c r="Q126" s="10" t="n">
        <v>1.31</v>
      </c>
      <c r="R126" s="9" t="n">
        <f aca="false">(Q126-Q125)/Q125</f>
        <v>0.031496062992126</v>
      </c>
      <c r="S126" s="10" t="n">
        <v>4.11</v>
      </c>
      <c r="T126" s="9" t="n">
        <f aca="false">(S126-S125)/S125</f>
        <v>-0.0237529691211401</v>
      </c>
      <c r="U126" s="13" t="n">
        <v>1.29</v>
      </c>
      <c r="V126" s="9" t="n">
        <f aca="false">(U126-U125)/U125</f>
        <v>-0.0719424460431652</v>
      </c>
      <c r="W126" s="0" t="n">
        <v>1.2555</v>
      </c>
      <c r="X126" s="23" t="n">
        <f aca="false">(W126-W125)/W125</f>
        <v>-0.00459843019107272</v>
      </c>
      <c r="Y126" s="0" t="n">
        <v>1.5494</v>
      </c>
      <c r="Z126" s="24" t="n">
        <f aca="false">(Y126-Y125)/Y125</f>
        <v>0.00284789644012957</v>
      </c>
    </row>
    <row r="127" customFormat="false" ht="13.8" hidden="false" customHeight="false" outlineLevel="0" collapsed="false">
      <c r="A127" s="8" t="n">
        <v>38495</v>
      </c>
      <c r="B127" s="0" t="n">
        <v>99.05</v>
      </c>
      <c r="C127" s="9" t="n">
        <f aca="false">(B127-B126)/B126</f>
        <v>-0.00582153969687843</v>
      </c>
      <c r="D127" s="0" t="n">
        <v>12.15</v>
      </c>
      <c r="E127" s="9" t="n">
        <f aca="false">(D127-D126)/D126</f>
        <v>-0.0753424657534247</v>
      </c>
      <c r="F127" s="0" t="n">
        <v>120.25</v>
      </c>
      <c r="G127" s="9" t="n">
        <f aca="false">(F127-F126)/F126</f>
        <v>0.00948623237071856</v>
      </c>
      <c r="H127" s="0" t="n">
        <f aca="false">AVERAGE(F113:F126)</f>
        <v>118.103571428571</v>
      </c>
      <c r="I127" s="0" t="n">
        <f aca="false">AVERAGE(F120:F126)</f>
        <v>116.485714285714</v>
      </c>
      <c r="J127" s="0" t="n">
        <f aca="false">AVERAGE(F124:F126)</f>
        <v>117.31</v>
      </c>
      <c r="K127" s="10" t="n">
        <v>47.77</v>
      </c>
      <c r="L127" s="9" t="n">
        <f aca="false">(K127-K126)/K126</f>
        <v>-0.0508642956487184</v>
      </c>
      <c r="M127" s="10" t="n">
        <v>46.98</v>
      </c>
      <c r="N127" s="9" t="n">
        <f aca="false">(M127-M126)/M126</f>
        <v>-0.0353182751540042</v>
      </c>
      <c r="O127" s="0" t="n">
        <v>2.49</v>
      </c>
      <c r="P127" s="9" t="n">
        <f aca="false">(O127-O126)/O126</f>
        <v>-0.0119047619047618</v>
      </c>
      <c r="Q127" s="10" t="n">
        <v>1.32</v>
      </c>
      <c r="R127" s="9" t="n">
        <f aca="false">(Q127-Q126)/Q126</f>
        <v>0.00763358778625955</v>
      </c>
      <c r="S127" s="10" t="n">
        <v>4.07</v>
      </c>
      <c r="T127" s="9" t="n">
        <f aca="false">(S127-S126)/S126</f>
        <v>-0.00973236009732361</v>
      </c>
      <c r="U127" s="13" t="n">
        <v>1.18</v>
      </c>
      <c r="V127" s="9" t="n">
        <f aca="false">(U127-U126)/U126</f>
        <v>-0.0852713178294576</v>
      </c>
      <c r="W127" s="0" t="n">
        <v>1.2585</v>
      </c>
      <c r="X127" s="23" t="n">
        <f aca="false">(W127-W126)/W126</f>
        <v>0.00238948626045392</v>
      </c>
      <c r="Y127" s="0" t="n">
        <v>1.5485</v>
      </c>
      <c r="Z127" s="24" t="n">
        <f aca="false">(Y127-Y126)/Y126</f>
        <v>-0.000580870014199124</v>
      </c>
    </row>
    <row r="128" customFormat="false" ht="13.8" hidden="false" customHeight="false" outlineLevel="0" collapsed="false">
      <c r="A128" s="8" t="n">
        <v>38503</v>
      </c>
      <c r="B128" s="0" t="n">
        <v>98.62</v>
      </c>
      <c r="C128" s="9" t="n">
        <f aca="false">(B128-B127)/B127</f>
        <v>-0.00434124179707211</v>
      </c>
      <c r="D128" s="0" t="n">
        <v>12.15</v>
      </c>
      <c r="E128" s="9" t="n">
        <f aca="false">(D128-D127)/D127</f>
        <v>0</v>
      </c>
      <c r="F128" s="0" t="n">
        <v>120.15</v>
      </c>
      <c r="G128" s="9" t="n">
        <f aca="false">(F128-F127)/F127</f>
        <v>-0.000831600831600784</v>
      </c>
      <c r="H128" s="0" t="n">
        <f aca="false">AVERAGE(F114:F127)</f>
        <v>118.093571428571</v>
      </c>
      <c r="I128" s="0" t="n">
        <f aca="false">AVERAGE(F121:F127)</f>
        <v>116.807142857143</v>
      </c>
      <c r="J128" s="0" t="n">
        <f aca="false">AVERAGE(F125:F127)</f>
        <v>118.363333333333</v>
      </c>
      <c r="K128" s="10" t="n">
        <v>50.15</v>
      </c>
      <c r="L128" s="9" t="n">
        <f aca="false">(K128-K127)/K127</f>
        <v>0.0498220640569394</v>
      </c>
      <c r="M128" s="10" t="n">
        <v>48.59</v>
      </c>
      <c r="N128" s="9" t="n">
        <f aca="false">(M128-M127)/M127</f>
        <v>0.0342699020859942</v>
      </c>
      <c r="O128" s="0" t="n">
        <v>2.43</v>
      </c>
      <c r="P128" s="9" t="n">
        <f aca="false">(O128-O127)/O127</f>
        <v>-0.0240963855421689</v>
      </c>
      <c r="Q128" s="10" t="n">
        <v>1.26</v>
      </c>
      <c r="R128" s="9" t="n">
        <f aca="false">(Q128-Q127)/Q127</f>
        <v>-0.0454545454545455</v>
      </c>
      <c r="S128" s="10" t="n">
        <v>3.95</v>
      </c>
      <c r="T128" s="9" t="n">
        <f aca="false">(S128-S127)/S127</f>
        <v>-0.0294840294840295</v>
      </c>
      <c r="U128" s="13" t="n">
        <v>1.03</v>
      </c>
      <c r="V128" s="9" t="n">
        <f aca="false">(U128-U127)/U127</f>
        <v>-0.127118644067797</v>
      </c>
      <c r="W128" s="0" t="n">
        <v>1.2222</v>
      </c>
      <c r="X128" s="23" t="n">
        <f aca="false">(W128-W127)/W127</f>
        <v>-0.0288438617401669</v>
      </c>
      <c r="Y128" s="0" t="n">
        <v>1.5325</v>
      </c>
      <c r="Z128" s="24" t="n">
        <f aca="false">(Y128-Y127)/Y127</f>
        <v>-0.0103325799160478</v>
      </c>
    </row>
    <row r="129" customFormat="false" ht="13.8" hidden="false" customHeight="false" outlineLevel="0" collapsed="false">
      <c r="A129" s="8" t="n">
        <v>38509</v>
      </c>
      <c r="B129" s="0" t="n">
        <v>98.3</v>
      </c>
      <c r="C129" s="9" t="n">
        <f aca="false">(B129-B128)/B128</f>
        <v>-0.00324477793551011</v>
      </c>
      <c r="D129" s="0" t="n">
        <v>11.96</v>
      </c>
      <c r="E129" s="9" t="n">
        <f aca="false">(D129-D128)/D128</f>
        <v>-0.0156378600823045</v>
      </c>
      <c r="F129" s="0" t="n">
        <v>120.2</v>
      </c>
      <c r="G129" s="9" t="n">
        <f aca="false">(F129-F128)/F128</f>
        <v>0.00041614648356219</v>
      </c>
      <c r="H129" s="0" t="n">
        <f aca="false">AVERAGE(F115:F128)</f>
        <v>118.002142857143</v>
      </c>
      <c r="I129" s="0" t="n">
        <f aca="false">AVERAGE(F122:F128)</f>
        <v>117.664285714286</v>
      </c>
      <c r="J129" s="0" t="n">
        <f aca="false">AVERAGE(F126:F128)</f>
        <v>119.84</v>
      </c>
      <c r="K129" s="10" t="n">
        <v>53.76</v>
      </c>
      <c r="L129" s="9" t="n">
        <f aca="false">(K129-K128)/K128</f>
        <v>0.0719840478564307</v>
      </c>
      <c r="M129" s="10" t="n">
        <v>50.46</v>
      </c>
      <c r="N129" s="9" t="n">
        <f aca="false">(M129-M128)/M128</f>
        <v>0.0384852850380736</v>
      </c>
      <c r="O129" s="0" t="n">
        <v>2.39</v>
      </c>
      <c r="P129" s="9" t="n">
        <f aca="false">(O129-O128)/O128</f>
        <v>-0.0164609053497943</v>
      </c>
      <c r="Q129" s="10" t="n">
        <v>1.36</v>
      </c>
      <c r="R129" s="9" t="n">
        <f aca="false">(Q129-Q128)/Q128</f>
        <v>0.0793650793650793</v>
      </c>
      <c r="S129" s="10" t="n">
        <v>3.97</v>
      </c>
      <c r="T129" s="9" t="n">
        <f aca="false">(S129-S128)/S128</f>
        <v>0.0050632911392404</v>
      </c>
      <c r="U129" s="13" t="n">
        <v>1.02</v>
      </c>
      <c r="V129" s="9" t="n">
        <f aca="false">(U129-U128)/U128</f>
        <v>-0.00970873786407789</v>
      </c>
      <c r="W129" s="0" t="n">
        <v>1.2119</v>
      </c>
      <c r="X129" s="23" t="n">
        <f aca="false">(W129-W128)/W128</f>
        <v>-0.00842742595319913</v>
      </c>
      <c r="Y129" s="0" t="n">
        <v>1.5371</v>
      </c>
      <c r="Z129" s="24" t="n">
        <f aca="false">(Y129-Y128)/Y128</f>
        <v>0.00300163132137027</v>
      </c>
    </row>
    <row r="130" customFormat="false" ht="13.8" hidden="false" customHeight="false" outlineLevel="0" collapsed="false">
      <c r="A130" s="8" t="n">
        <v>38516</v>
      </c>
      <c r="B130" s="0" t="n">
        <v>99.71</v>
      </c>
      <c r="C130" s="9" t="n">
        <f aca="false">(B130-B129)/B129</f>
        <v>0.0143438453713123</v>
      </c>
      <c r="D130" s="0" t="n">
        <v>11.48</v>
      </c>
      <c r="E130" s="9" t="n">
        <f aca="false">(D130-D129)/D129</f>
        <v>-0.0401337792642141</v>
      </c>
      <c r="F130" s="0" t="n">
        <v>121.36</v>
      </c>
      <c r="G130" s="9" t="n">
        <f aca="false">(F130-F129)/F129</f>
        <v>0.00965058236272876</v>
      </c>
      <c r="H130" s="0" t="n">
        <f aca="false">AVERAGE(F116:F129)</f>
        <v>117.821428571429</v>
      </c>
      <c r="I130" s="0" t="n">
        <f aca="false">AVERAGE(F123:F129)</f>
        <v>118.325714285714</v>
      </c>
      <c r="J130" s="0" t="n">
        <f aca="false">AVERAGE(F127:F129)</f>
        <v>120.2</v>
      </c>
      <c r="K130" s="10" t="n">
        <v>53.74</v>
      </c>
      <c r="L130" s="9" t="n">
        <f aca="false">(K130-K129)/K129</f>
        <v>-0.000372023809523735</v>
      </c>
      <c r="M130" s="10" t="n">
        <v>51.9</v>
      </c>
      <c r="N130" s="9" t="n">
        <f aca="false">(M130-M129)/M129</f>
        <v>0.0285374554102259</v>
      </c>
      <c r="O130" s="0" t="n">
        <v>2.39</v>
      </c>
      <c r="P130" s="9" t="n">
        <f aca="false">(O130-O129)/O129</f>
        <v>0</v>
      </c>
      <c r="Q130" s="10" t="n">
        <v>1.49</v>
      </c>
      <c r="R130" s="9" t="n">
        <f aca="false">(Q130-Q129)/Q129</f>
        <v>0.0955882352941177</v>
      </c>
      <c r="S130" s="10" t="n">
        <v>4.1</v>
      </c>
      <c r="T130" s="9" t="n">
        <f aca="false">(S130-S129)/S129</f>
        <v>0.0327455919395466</v>
      </c>
      <c r="U130" s="13" t="n">
        <v>1.16</v>
      </c>
      <c r="V130" s="9" t="n">
        <f aca="false">(U130-U129)/U129</f>
        <v>0.137254901960784</v>
      </c>
      <c r="W130" s="0" t="n">
        <v>1.2276</v>
      </c>
      <c r="X130" s="23" t="n">
        <f aca="false">(W130-W129)/W129</f>
        <v>0.012954864262728</v>
      </c>
      <c r="Y130" s="0" t="n">
        <v>1.5444</v>
      </c>
      <c r="Z130" s="24" t="n">
        <f aca="false">(Y130-Y129)/Y129</f>
        <v>0.00474920304469461</v>
      </c>
    </row>
    <row r="131" customFormat="false" ht="13.8" hidden="false" customHeight="false" outlineLevel="0" collapsed="false">
      <c r="A131" s="8" t="n">
        <v>38523</v>
      </c>
      <c r="B131" s="0" t="n">
        <v>98.63</v>
      </c>
      <c r="C131" s="9" t="n">
        <f aca="false">(B131-B130)/B130</f>
        <v>-0.0108314110921673</v>
      </c>
      <c r="D131" s="0" t="n">
        <v>12.18</v>
      </c>
      <c r="E131" s="9" t="n">
        <f aca="false">(D131-D130)/D130</f>
        <v>0.0609756097560975</v>
      </c>
      <c r="F131" s="0" t="n">
        <v>118.98</v>
      </c>
      <c r="G131" s="9" t="n">
        <f aca="false">(F131-F130)/F130</f>
        <v>-0.0196110744891232</v>
      </c>
      <c r="H131" s="0" t="n">
        <f aca="false">AVERAGE(F117:F130)</f>
        <v>117.890714285714</v>
      </c>
      <c r="I131" s="0" t="n">
        <f aca="false">AVERAGE(F124:F130)</f>
        <v>119.127142857143</v>
      </c>
      <c r="J131" s="0" t="n">
        <f aca="false">AVERAGE(F128:F130)</f>
        <v>120.57</v>
      </c>
      <c r="K131" s="10" t="n">
        <v>56.18</v>
      </c>
      <c r="L131" s="9" t="n">
        <f aca="false">(K131-K130)/K130</f>
        <v>0.04540379605508</v>
      </c>
      <c r="M131" s="10" t="n">
        <v>54.17</v>
      </c>
      <c r="N131" s="9" t="n">
        <f aca="false">(M131-M130)/M130</f>
        <v>0.04373795761079</v>
      </c>
      <c r="O131" s="0" t="n">
        <v>2.36</v>
      </c>
      <c r="P131" s="9" t="n">
        <f aca="false">(O131-O130)/O130</f>
        <v>-0.0125523012552299</v>
      </c>
      <c r="Q131" s="10" t="n">
        <v>1.41</v>
      </c>
      <c r="R131" s="9" t="n">
        <f aca="false">(Q131-Q130)/Q130</f>
        <v>-0.0536912751677851</v>
      </c>
      <c r="S131" s="10" t="n">
        <v>4</v>
      </c>
      <c r="T131" s="9" t="n">
        <f aca="false">(S131-S130)/S130</f>
        <v>-0.0243902439024389</v>
      </c>
      <c r="U131" s="13" t="n">
        <v>1.02</v>
      </c>
      <c r="V131" s="9" t="n">
        <f aca="false">(U131-U130)/U130</f>
        <v>-0.120689655172414</v>
      </c>
      <c r="W131" s="0" t="n">
        <v>1.2096</v>
      </c>
      <c r="X131" s="23" t="n">
        <f aca="false">(W131-W130)/W130</f>
        <v>-0.0146627565982405</v>
      </c>
      <c r="Y131" s="0" t="n">
        <v>1.5414</v>
      </c>
      <c r="Z131" s="24" t="n">
        <f aca="false">(Y131-Y130)/Y130</f>
        <v>-0.00194250194250187</v>
      </c>
    </row>
    <row r="132" customFormat="false" ht="13.8" hidden="false" customHeight="false" outlineLevel="0" collapsed="false">
      <c r="A132" s="8" t="n">
        <v>38530</v>
      </c>
      <c r="B132" s="0" t="n">
        <v>98.91</v>
      </c>
      <c r="C132" s="9" t="n">
        <f aca="false">(B132-B131)/B131</f>
        <v>0.00283889283179561</v>
      </c>
      <c r="D132" s="0" t="n">
        <v>11.4</v>
      </c>
      <c r="E132" s="9" t="n">
        <f aca="false">(D132-D131)/D131</f>
        <v>-0.064039408866995</v>
      </c>
      <c r="F132" s="0" t="n">
        <v>119.53</v>
      </c>
      <c r="G132" s="9" t="n">
        <f aca="false">(F132-F131)/F131</f>
        <v>0.00462262565136995</v>
      </c>
      <c r="H132" s="0" t="n">
        <f aca="false">AVERAGE(F118:F131)</f>
        <v>117.922142857143</v>
      </c>
      <c r="I132" s="0" t="n">
        <f aca="false">AVERAGE(F125:F131)</f>
        <v>119.397142857143</v>
      </c>
      <c r="J132" s="0" t="n">
        <f aca="false">AVERAGE(F129:F131)</f>
        <v>120.18</v>
      </c>
      <c r="K132" s="10" t="n">
        <v>59.04</v>
      </c>
      <c r="L132" s="9" t="n">
        <f aca="false">(K132-K131)/K131</f>
        <v>0.0509077963688145</v>
      </c>
      <c r="M132" s="10" t="n">
        <v>56.95</v>
      </c>
      <c r="N132" s="9" t="n">
        <f aca="false">(M132-M131)/M131</f>
        <v>0.0513199187742293</v>
      </c>
      <c r="O132" s="0" t="n">
        <v>2.35</v>
      </c>
      <c r="P132" s="9" t="n">
        <f aca="false">(O132-O131)/O131</f>
        <v>-0.00423728813559351</v>
      </c>
      <c r="Q132" s="10" t="n">
        <v>1.41</v>
      </c>
      <c r="R132" s="9" t="n">
        <f aca="false">(Q132-Q131)/Q131</f>
        <v>0</v>
      </c>
      <c r="S132" s="10" t="n">
        <v>3.97</v>
      </c>
      <c r="T132" s="9" t="n">
        <f aca="false">(S132-S131)/S131</f>
        <v>-0.00750000000000006</v>
      </c>
      <c r="U132" s="13" t="n">
        <v>0.89</v>
      </c>
      <c r="V132" s="9" t="n">
        <f aca="false">(U132-U131)/U131</f>
        <v>-0.127450980392157</v>
      </c>
      <c r="W132" s="0" t="n">
        <v>1.1959</v>
      </c>
      <c r="X132" s="23" t="n">
        <f aca="false">(W132-W131)/W131</f>
        <v>-0.0113260582010582</v>
      </c>
      <c r="Y132" s="0" t="n">
        <v>1.5502</v>
      </c>
      <c r="Z132" s="24" t="n">
        <f aca="false">(Y132-Y131)/Y131</f>
        <v>0.00570909562735171</v>
      </c>
    </row>
    <row r="133" customFormat="false" ht="13.8" hidden="false" customHeight="false" outlineLevel="0" collapsed="false">
      <c r="A133" s="8" t="n">
        <v>38538</v>
      </c>
      <c r="B133" s="0" t="n">
        <v>99.61</v>
      </c>
      <c r="C133" s="9" t="n">
        <f aca="false">(B133-B132)/B132</f>
        <v>0.00707714083510265</v>
      </c>
      <c r="D133" s="0" t="n">
        <v>11.45</v>
      </c>
      <c r="E133" s="9" t="n">
        <f aca="false">(D133-D132)/D132</f>
        <v>0.00438596491228061</v>
      </c>
      <c r="F133" s="0" t="n">
        <v>121.32</v>
      </c>
      <c r="G133" s="9" t="n">
        <f aca="false">(F133-F132)/F132</f>
        <v>0.0149753200033464</v>
      </c>
      <c r="H133" s="0" t="n">
        <f aca="false">AVERAGE(F119:F132)</f>
        <v>118.092857142857</v>
      </c>
      <c r="I133" s="0" t="n">
        <f aca="false">AVERAGE(F126:F132)</f>
        <v>119.941428571429</v>
      </c>
      <c r="J133" s="0" t="n">
        <f aca="false">AVERAGE(F130:F132)</f>
        <v>119.956666666667</v>
      </c>
      <c r="K133" s="10" t="n">
        <v>58.21</v>
      </c>
      <c r="L133" s="9" t="n">
        <f aca="false">(K133-K132)/K132</f>
        <v>-0.0140582655826558</v>
      </c>
      <c r="M133" s="10" t="n">
        <v>56.69</v>
      </c>
      <c r="N133" s="9" t="n">
        <f aca="false">(M133-M132)/M132</f>
        <v>-0.00456540825285347</v>
      </c>
      <c r="O133" s="0" t="n">
        <v>2.34</v>
      </c>
      <c r="P133" s="9" t="n">
        <f aca="false">(O133-O132)/O132</f>
        <v>-0.00425531914893608</v>
      </c>
      <c r="Q133" s="10" t="n">
        <v>1.53</v>
      </c>
      <c r="R133" s="9" t="n">
        <f aca="false">(Q133-Q132)/Q132</f>
        <v>0.0851063829787233</v>
      </c>
      <c r="S133" s="10" t="n">
        <v>4.09</v>
      </c>
      <c r="T133" s="9" t="n">
        <f aca="false">(S133-S132)/S132</f>
        <v>0.0302267002518892</v>
      </c>
      <c r="U133" s="13" t="n">
        <v>0.98</v>
      </c>
      <c r="V133" s="9" t="n">
        <f aca="false">(U133-U132)/U132</f>
        <v>0.101123595505618</v>
      </c>
      <c r="W133" s="0" t="n">
        <v>1.1957</v>
      </c>
      <c r="X133" s="23" t="n">
        <f aca="false">(W133-W132)/W132</f>
        <v>-0.000167238063383208</v>
      </c>
      <c r="Y133" s="0" t="n">
        <v>1.554</v>
      </c>
      <c r="Z133" s="24" t="n">
        <f aca="false">(Y133-Y132)/Y132</f>
        <v>0.00245129660688945</v>
      </c>
    </row>
    <row r="134" customFormat="false" ht="13.8" hidden="false" customHeight="false" outlineLevel="0" collapsed="false">
      <c r="A134" s="8" t="n">
        <v>38544</v>
      </c>
      <c r="B134" s="0" t="n">
        <v>101.89</v>
      </c>
      <c r="C134" s="9" t="n">
        <f aca="false">(B134-B133)/B133</f>
        <v>0.0228892681457685</v>
      </c>
      <c r="D134" s="0" t="n">
        <v>10.33</v>
      </c>
      <c r="E134" s="9" t="n">
        <f aca="false">(D134-D133)/D133</f>
        <v>-0.0978165938864628</v>
      </c>
      <c r="F134" s="0" t="n">
        <v>122.84</v>
      </c>
      <c r="G134" s="9" t="n">
        <f aca="false">(F134-F133)/F133</f>
        <v>0.0125288493241016</v>
      </c>
      <c r="H134" s="0" t="n">
        <f aca="false">AVERAGE(F120:F133)</f>
        <v>118.370714285714</v>
      </c>
      <c r="I134" s="0" t="n">
        <f aca="false">AVERAGE(F127:F133)</f>
        <v>120.255714285714</v>
      </c>
      <c r="J134" s="0" t="n">
        <f aca="false">AVERAGE(F131:F133)</f>
        <v>119.943333333333</v>
      </c>
      <c r="K134" s="10" t="n">
        <v>60.36</v>
      </c>
      <c r="L134" s="9" t="n">
        <f aca="false">(K134-K133)/K133</f>
        <v>0.0369352344957911</v>
      </c>
      <c r="M134" s="10" t="n">
        <v>57.98</v>
      </c>
      <c r="N134" s="9" t="n">
        <f aca="false">(M134-M133)/M133</f>
        <v>0.0227553360381019</v>
      </c>
      <c r="O134" s="0" t="n">
        <v>2.31</v>
      </c>
      <c r="P134" s="9" t="n">
        <f aca="false">(O134-O133)/O133</f>
        <v>-0.0128205128205125</v>
      </c>
      <c r="Q134" s="10" t="n">
        <v>1.64</v>
      </c>
      <c r="R134" s="9" t="n">
        <f aca="false">(Q134-Q133)/Q133</f>
        <v>0.0718954248366014</v>
      </c>
      <c r="S134" s="10" t="n">
        <v>4.16</v>
      </c>
      <c r="T134" s="9" t="n">
        <f aca="false">(S134-S133)/S133</f>
        <v>0.0171149144254279</v>
      </c>
      <c r="U134" s="13" t="n">
        <v>1.01</v>
      </c>
      <c r="V134" s="9" t="n">
        <f aca="false">(U134-U133)/U133</f>
        <v>0.0306122448979594</v>
      </c>
      <c r="W134" s="0" t="n">
        <v>1.2042</v>
      </c>
      <c r="X134" s="23" t="n">
        <f aca="false">(W134-W133)/W133</f>
        <v>0.0071088065568286</v>
      </c>
      <c r="Y134" s="0" t="n">
        <v>1.5593</v>
      </c>
      <c r="Z134" s="24" t="n">
        <f aca="false">(Y134-Y133)/Y133</f>
        <v>0.00341055341055332</v>
      </c>
    </row>
    <row r="135" customFormat="false" ht="13.8" hidden="false" customHeight="false" outlineLevel="0" collapsed="false">
      <c r="A135" s="8" t="n">
        <v>38551</v>
      </c>
      <c r="B135" s="0" t="n">
        <v>101.42</v>
      </c>
      <c r="C135" s="9" t="n">
        <f aca="false">(B135-B134)/B134</f>
        <v>-0.00461281774462655</v>
      </c>
      <c r="D135" s="0" t="n">
        <v>10.52</v>
      </c>
      <c r="E135" s="9" t="n">
        <f aca="false">(D135-D134)/D134</f>
        <v>0.0183930300096805</v>
      </c>
      <c r="F135" s="0" t="n">
        <v>123.54</v>
      </c>
      <c r="G135" s="9" t="n">
        <f aca="false">(F135-F134)/F134</f>
        <v>0.00569846955389126</v>
      </c>
      <c r="H135" s="0" t="n">
        <f aca="false">AVERAGE(F121:F134)</f>
        <v>118.716428571429</v>
      </c>
      <c r="I135" s="0" t="n">
        <f aca="false">AVERAGE(F128:F134)</f>
        <v>120.625714285714</v>
      </c>
      <c r="J135" s="0" t="n">
        <f aca="false">AVERAGE(F132:F134)</f>
        <v>121.23</v>
      </c>
      <c r="K135" s="10" t="n">
        <v>59.18</v>
      </c>
      <c r="L135" s="9" t="n">
        <f aca="false">(K135-K134)/K134</f>
        <v>-0.0195493704440026</v>
      </c>
      <c r="M135" s="10" t="n">
        <v>57.43</v>
      </c>
      <c r="N135" s="9" t="n">
        <f aca="false">(M135-M134)/M134</f>
        <v>-0.00948602966540181</v>
      </c>
      <c r="O135" s="0" t="n">
        <v>2.27</v>
      </c>
      <c r="P135" s="9" t="n">
        <f aca="false">(O135-O134)/O134</f>
        <v>-0.0173160173160177</v>
      </c>
      <c r="Q135" s="10" t="n">
        <v>1.75</v>
      </c>
      <c r="R135" s="9" t="n">
        <f aca="false">(Q135-Q134)/Q134</f>
        <v>0.0670731707317072</v>
      </c>
      <c r="S135" s="10" t="n">
        <v>4.22</v>
      </c>
      <c r="T135" s="9" t="n">
        <f aca="false">(S135-S134)/S134</f>
        <v>0.0144230769230768</v>
      </c>
      <c r="U135" s="13" t="n">
        <v>0.97</v>
      </c>
      <c r="V135" s="9" t="n">
        <f aca="false">(U135-U134)/U134</f>
        <v>-0.0396039603960401</v>
      </c>
      <c r="W135" s="0" t="n">
        <v>1.2066</v>
      </c>
      <c r="X135" s="23" t="n">
        <f aca="false">(W135-W134)/W134</f>
        <v>0.00199302441454904</v>
      </c>
      <c r="Y135" s="0" t="n">
        <v>1.5638</v>
      </c>
      <c r="Z135" s="24" t="n">
        <f aca="false">(Y135-Y134)/Y134</f>
        <v>0.00288591034438541</v>
      </c>
    </row>
    <row r="136" customFormat="false" ht="13.8" hidden="false" customHeight="false" outlineLevel="0" collapsed="false">
      <c r="A136" s="8" t="n">
        <v>38558</v>
      </c>
      <c r="B136" s="0" t="n">
        <v>99.88</v>
      </c>
      <c r="C136" s="9" t="n">
        <f aca="false">(B136-B135)/B135</f>
        <v>-0.0151843817787419</v>
      </c>
      <c r="D136" s="0" t="n">
        <v>11.57</v>
      </c>
      <c r="E136" s="9" t="n">
        <f aca="false">(D136-D135)/D135</f>
        <v>0.099809885931559</v>
      </c>
      <c r="F136" s="0" t="n">
        <v>123.74</v>
      </c>
      <c r="G136" s="9" t="n">
        <f aca="false">(F136-F135)/F135</f>
        <v>0.00161890885543135</v>
      </c>
      <c r="H136" s="0" t="n">
        <f aca="false">AVERAGE(F122:F135)</f>
        <v>119.387142857143</v>
      </c>
      <c r="I136" s="0" t="n">
        <f aca="false">AVERAGE(F129:F135)</f>
        <v>121.11</v>
      </c>
      <c r="J136" s="0" t="n">
        <f aca="false">AVERAGE(F133:F135)</f>
        <v>122.566666666667</v>
      </c>
      <c r="K136" s="10" t="n">
        <v>57.3</v>
      </c>
      <c r="L136" s="9" t="n">
        <f aca="false">(K136-K135)/K135</f>
        <v>-0.0317674890165597</v>
      </c>
      <c r="M136" s="10" t="n">
        <v>56.39</v>
      </c>
      <c r="N136" s="9" t="n">
        <f aca="false">(M136-M135)/M135</f>
        <v>-0.0181090022636253</v>
      </c>
      <c r="O136" s="0" t="n">
        <v>2.3</v>
      </c>
      <c r="P136" s="9" t="n">
        <f aca="false">(O136-O135)/O135</f>
        <v>0.0132158590308373</v>
      </c>
      <c r="Q136" s="10" t="n">
        <v>1.77</v>
      </c>
      <c r="R136" s="9" t="n">
        <f aca="false">(Q136-Q135)/Q135</f>
        <v>0.0114285714285714</v>
      </c>
      <c r="S136" s="10" t="n">
        <v>4.25</v>
      </c>
      <c r="T136" s="9" t="n">
        <f aca="false">(S136-S135)/S135</f>
        <v>0.00710900473933655</v>
      </c>
      <c r="U136" s="13" t="n">
        <v>0.9</v>
      </c>
      <c r="V136" s="9" t="n">
        <f aca="false">(U136-U135)/U135</f>
        <v>-0.0721649484536081</v>
      </c>
      <c r="W136" s="0" t="n">
        <v>1.2125</v>
      </c>
      <c r="X136" s="23" t="n">
        <f aca="false">(W136-W135)/W135</f>
        <v>0.00488977291563071</v>
      </c>
      <c r="Y136" s="0" t="n">
        <v>1.5615</v>
      </c>
      <c r="Z136" s="24" t="n">
        <f aca="false">(Y136-Y135)/Y135</f>
        <v>-0.00147077631410664</v>
      </c>
    </row>
    <row r="137" customFormat="false" ht="13.8" hidden="false" customHeight="false" outlineLevel="0" collapsed="false">
      <c r="A137" s="8" t="n">
        <v>38565</v>
      </c>
      <c r="B137" s="0" t="n">
        <v>98.88</v>
      </c>
      <c r="C137" s="9" t="n">
        <f aca="false">(B137-B136)/B136</f>
        <v>-0.0100120144173008</v>
      </c>
      <c r="D137" s="0" t="n">
        <v>12.48</v>
      </c>
      <c r="E137" s="9" t="n">
        <f aca="false">(D137-D136)/D136</f>
        <v>0.0786516853932584</v>
      </c>
      <c r="F137" s="0" t="n">
        <v>122.88</v>
      </c>
      <c r="G137" s="9" t="n">
        <f aca="false">(F137-F136)/F136</f>
        <v>-0.00695005657022789</v>
      </c>
      <c r="H137" s="0" t="n">
        <f aca="false">AVERAGE(F123:F136)</f>
        <v>119.970714285714</v>
      </c>
      <c r="I137" s="0" t="n">
        <f aca="false">AVERAGE(F130:F136)</f>
        <v>121.615714285714</v>
      </c>
      <c r="J137" s="0" t="n">
        <f aca="false">AVERAGE(F134:F136)</f>
        <v>123.373333333333</v>
      </c>
      <c r="K137" s="10" t="n">
        <v>59.39</v>
      </c>
      <c r="L137" s="9" t="n">
        <f aca="false">(K137-K136)/K136</f>
        <v>0.0364746945898779</v>
      </c>
      <c r="M137" s="10" t="n">
        <v>58.5</v>
      </c>
      <c r="N137" s="9" t="n">
        <f aca="false">(M137-M136)/M136</f>
        <v>0.0374179819116865</v>
      </c>
      <c r="O137" s="0" t="n">
        <v>2.38</v>
      </c>
      <c r="P137" s="9" t="n">
        <f aca="false">(O137-O136)/O136</f>
        <v>0.034782608695652</v>
      </c>
      <c r="Q137" s="10" t="n">
        <v>1.79</v>
      </c>
      <c r="R137" s="9" t="n">
        <f aca="false">(Q137-Q136)/Q136</f>
        <v>0.0112994350282486</v>
      </c>
      <c r="S137" s="10" t="n">
        <v>4.34</v>
      </c>
      <c r="T137" s="9" t="n">
        <f aca="false">(S137-S136)/S136</f>
        <v>0.0211764705882353</v>
      </c>
      <c r="U137" s="13" t="n">
        <v>0.93</v>
      </c>
      <c r="V137" s="9" t="n">
        <f aca="false">(U137-U136)/U136</f>
        <v>0.0333333333333331</v>
      </c>
      <c r="W137" s="0" t="n">
        <v>1.2346</v>
      </c>
      <c r="X137" s="23" t="n">
        <f aca="false">(W137-W136)/W136</f>
        <v>0.0182268041237113</v>
      </c>
      <c r="Y137" s="0" t="n">
        <v>1.5598</v>
      </c>
      <c r="Z137" s="24" t="n">
        <f aca="false">(Y137-Y136)/Y136</f>
        <v>-0.00108869676593022</v>
      </c>
    </row>
    <row r="138" customFormat="false" ht="13.8" hidden="false" customHeight="false" outlineLevel="0" collapsed="false">
      <c r="A138" s="8" t="n">
        <v>38572</v>
      </c>
      <c r="B138" s="0" t="n">
        <v>98.89</v>
      </c>
      <c r="C138" s="9" t="n">
        <f aca="false">(B138-B137)/B137</f>
        <v>0.000101132686084194</v>
      </c>
      <c r="D138" s="0" t="n">
        <v>12.74</v>
      </c>
      <c r="E138" s="9" t="n">
        <f aca="false">(D138-D137)/D137</f>
        <v>0.0208333333333333</v>
      </c>
      <c r="F138" s="0" t="n">
        <v>123.06</v>
      </c>
      <c r="G138" s="9" t="n">
        <f aca="false">(F138-F137)/F137</f>
        <v>0.00146484375000006</v>
      </c>
      <c r="H138" s="0" t="n">
        <f aca="false">AVERAGE(F124:F137)</f>
        <v>120.48</v>
      </c>
      <c r="I138" s="0" t="n">
        <f aca="false">AVERAGE(F131:F137)</f>
        <v>121.832857142857</v>
      </c>
      <c r="J138" s="0" t="n">
        <f aca="false">AVERAGE(F135:F137)</f>
        <v>123.386666666667</v>
      </c>
      <c r="K138" s="10" t="n">
        <v>61.64</v>
      </c>
      <c r="L138" s="9" t="n">
        <f aca="false">(K138-K137)/K137</f>
        <v>0.0378851658528372</v>
      </c>
      <c r="M138" s="10" t="n">
        <v>60.42</v>
      </c>
      <c r="N138" s="9" t="n">
        <f aca="false">(M138-M137)/M137</f>
        <v>0.0328205128205128</v>
      </c>
      <c r="O138" s="0" t="n">
        <v>2.39</v>
      </c>
      <c r="P138" s="9" t="n">
        <f aca="false">(O138-O137)/O137</f>
        <v>0.00420168067226882</v>
      </c>
      <c r="Q138" s="10" t="n">
        <v>1.82</v>
      </c>
      <c r="R138" s="9" t="n">
        <f aca="false">(Q138-Q137)/Q137</f>
        <v>0.0167597765363129</v>
      </c>
      <c r="S138" s="10" t="n">
        <v>4.36</v>
      </c>
      <c r="T138" s="9" t="n">
        <f aca="false">(S138-S137)/S137</f>
        <v>0.00460829493087568</v>
      </c>
      <c r="U138" s="13" t="n">
        <v>0.92</v>
      </c>
      <c r="V138" s="9" t="n">
        <f aca="false">(U138-U137)/U137</f>
        <v>-0.0107526881720423</v>
      </c>
      <c r="W138" s="0" t="n">
        <v>1.244</v>
      </c>
      <c r="X138" s="23" t="n">
        <f aca="false">(W138-W137)/W137</f>
        <v>0.00761380204114699</v>
      </c>
      <c r="Y138" s="0" t="n">
        <v>1.552</v>
      </c>
      <c r="Z138" s="24" t="n">
        <f aca="false">(Y138-Y137)/Y137</f>
        <v>-0.00500064110783436</v>
      </c>
    </row>
    <row r="139" customFormat="false" ht="13.8" hidden="false" customHeight="false" outlineLevel="0" collapsed="false">
      <c r="A139" s="8" t="n">
        <v>38579</v>
      </c>
      <c r="B139" s="0" t="n">
        <v>99.65</v>
      </c>
      <c r="C139" s="9" t="n">
        <f aca="false">(B139-B138)/B138</f>
        <v>0.00768530690666402</v>
      </c>
      <c r="D139" s="0" t="n">
        <v>13.42</v>
      </c>
      <c r="E139" s="9" t="n">
        <f aca="false">(D139-D138)/D138</f>
        <v>0.0533751962323391</v>
      </c>
      <c r="F139" s="0" t="n">
        <v>122.47</v>
      </c>
      <c r="G139" s="9" t="n">
        <f aca="false">(F139-F138)/F138</f>
        <v>-0.00479440923126933</v>
      </c>
      <c r="H139" s="0" t="n">
        <f aca="false">AVERAGE(F125:F138)</f>
        <v>120.906428571429</v>
      </c>
      <c r="I139" s="0" t="n">
        <f aca="false">AVERAGE(F132:F138)</f>
        <v>122.415714285714</v>
      </c>
      <c r="J139" s="0" t="n">
        <f aca="false">AVERAGE(F136:F138)</f>
        <v>123.226666666667</v>
      </c>
      <c r="K139" s="10" t="n">
        <v>64.85</v>
      </c>
      <c r="L139" s="9" t="n">
        <f aca="false">(K139-K138)/K138</f>
        <v>0.0520765736534717</v>
      </c>
      <c r="M139" s="10" t="n">
        <v>64.46</v>
      </c>
      <c r="N139" s="9" t="n">
        <f aca="false">(M139-M138)/M138</f>
        <v>0.0668652763985434</v>
      </c>
      <c r="O139" s="0" t="n">
        <v>2.41</v>
      </c>
      <c r="P139" s="9" t="n">
        <f aca="false">(O139-O138)/O138</f>
        <v>0.00836820083682028</v>
      </c>
      <c r="Q139" s="10" t="n">
        <v>1.7</v>
      </c>
      <c r="R139" s="9" t="n">
        <f aca="false">(Q139-Q138)/Q138</f>
        <v>-0.0659340659340659</v>
      </c>
      <c r="S139" s="10" t="n">
        <v>4.24</v>
      </c>
      <c r="T139" s="9" t="n">
        <f aca="false">(S139-S138)/S138</f>
        <v>-0.0275229357798165</v>
      </c>
      <c r="U139" s="13" t="n">
        <v>0.79</v>
      </c>
      <c r="V139" s="9" t="n">
        <f aca="false">(U139-U138)/U138</f>
        <v>-0.141304347826087</v>
      </c>
      <c r="W139" s="0" t="n">
        <v>1.217</v>
      </c>
      <c r="X139" s="23" t="n">
        <f aca="false">(W139-W138)/W138</f>
        <v>-0.0217041800643086</v>
      </c>
      <c r="Y139" s="0" t="n">
        <v>1.5505</v>
      </c>
      <c r="Z139" s="24" t="n">
        <f aca="false">(Y139-Y138)/Y138</f>
        <v>-0.000966494845360861</v>
      </c>
    </row>
    <row r="140" customFormat="false" ht="13.8" hidden="false" customHeight="false" outlineLevel="0" collapsed="false">
      <c r="A140" s="8" t="n">
        <v>38586</v>
      </c>
      <c r="B140" s="0" t="n">
        <v>97.14</v>
      </c>
      <c r="C140" s="9" t="n">
        <f aca="false">(B140-B139)/B139</f>
        <v>-0.0251881585549423</v>
      </c>
      <c r="D140" s="0" t="n">
        <v>13.72</v>
      </c>
      <c r="E140" s="9" t="n">
        <f aca="false">(D140-D139)/D139</f>
        <v>0.0223546944858421</v>
      </c>
      <c r="F140" s="0" t="n">
        <v>120.76</v>
      </c>
      <c r="G140" s="9" t="n">
        <f aca="false">(F140-F139)/F139</f>
        <v>-0.0139626030864701</v>
      </c>
      <c r="H140" s="0" t="n">
        <f aca="false">AVERAGE(F126:F139)</f>
        <v>121.388571428571</v>
      </c>
      <c r="I140" s="0" t="n">
        <f aca="false">AVERAGE(F133:F139)</f>
        <v>122.835714285714</v>
      </c>
      <c r="J140" s="0" t="n">
        <f aca="false">AVERAGE(F137:F139)</f>
        <v>122.803333333333</v>
      </c>
      <c r="K140" s="10" t="n">
        <v>64.92</v>
      </c>
      <c r="L140" s="9" t="n">
        <f aca="false">(K140-K139)/K139</f>
        <v>0.00107941403238254</v>
      </c>
      <c r="M140" s="10" t="n">
        <v>64.23</v>
      </c>
      <c r="N140" s="9" t="n">
        <f aca="false">(M140-M139)/M139</f>
        <v>-0.00356810425069795</v>
      </c>
      <c r="O140" s="0" t="n">
        <v>2.42</v>
      </c>
      <c r="P140" s="9" t="n">
        <f aca="false">(O140-O139)/O139</f>
        <v>0.00414937759336109</v>
      </c>
      <c r="Q140" s="10" t="n">
        <v>1.65</v>
      </c>
      <c r="R140" s="9" t="n">
        <f aca="false">(Q140-Q139)/Q139</f>
        <v>-0.0294117647058825</v>
      </c>
      <c r="S140" s="10" t="n">
        <v>4.2</v>
      </c>
      <c r="T140" s="9" t="n">
        <f aca="false">(S140-S139)/S139</f>
        <v>-0.00943396226415095</v>
      </c>
      <c r="U140" s="13" t="n">
        <v>0.74</v>
      </c>
      <c r="V140" s="9" t="n">
        <f aca="false">(U140-U139)/U139</f>
        <v>-0.0632911392405061</v>
      </c>
      <c r="W140" s="0" t="n">
        <v>1.2283</v>
      </c>
      <c r="X140" s="23" t="n">
        <f aca="false">(W140-W139)/W139</f>
        <v>0.00928512736236636</v>
      </c>
      <c r="Y140" s="0" t="n">
        <v>1.5463</v>
      </c>
      <c r="Z140" s="24" t="n">
        <f aca="false">(Y140-Y139)/Y139</f>
        <v>-0.00270880361173814</v>
      </c>
    </row>
    <row r="141" customFormat="false" ht="13.8" hidden="false" customHeight="false" outlineLevel="0" collapsed="false">
      <c r="A141" s="8" t="n">
        <v>38593</v>
      </c>
      <c r="B141" s="0" t="n">
        <v>98.39</v>
      </c>
      <c r="C141" s="9" t="n">
        <f aca="false">(B141-B140)/B140</f>
        <v>0.0128680255301627</v>
      </c>
      <c r="D141" s="0" t="n">
        <v>13.57</v>
      </c>
      <c r="E141" s="9" t="n">
        <f aca="false">(D141-D140)/D140</f>
        <v>-0.010932944606414</v>
      </c>
      <c r="F141" s="0" t="n">
        <v>122.27</v>
      </c>
      <c r="G141" s="9" t="n">
        <f aca="false">(F141-F140)/F140</f>
        <v>0.0125041404438555</v>
      </c>
      <c r="H141" s="0" t="n">
        <f aca="false">AVERAGE(F127:F140)</f>
        <v>121.505714285714</v>
      </c>
      <c r="I141" s="0" t="n">
        <f aca="false">AVERAGE(F134:F140)</f>
        <v>122.755714285714</v>
      </c>
      <c r="J141" s="0" t="n">
        <f aca="false">AVERAGE(F138:F140)</f>
        <v>122.096666666667</v>
      </c>
      <c r="K141" s="10" t="n">
        <v>66.34</v>
      </c>
      <c r="L141" s="9" t="n">
        <f aca="false">(K141-K140)/K140</f>
        <v>0.0218730745532964</v>
      </c>
      <c r="M141" s="10" t="n">
        <v>65.68</v>
      </c>
      <c r="N141" s="9" t="n">
        <f aca="false">(M141-M140)/M140</f>
        <v>0.0225751206601277</v>
      </c>
      <c r="O141" s="0" t="n">
        <v>2.48</v>
      </c>
      <c r="P141" s="9" t="n">
        <f aca="false">(O141-O140)/O140</f>
        <v>0.0247933884297519</v>
      </c>
      <c r="Q141" s="10" t="n">
        <v>1.46</v>
      </c>
      <c r="R141" s="9" t="n">
        <f aca="false">(Q141-Q140)/Q140</f>
        <v>-0.115151515151515</v>
      </c>
      <c r="S141" s="10" t="n">
        <v>4.09</v>
      </c>
      <c r="T141" s="9" t="n">
        <f aca="false">(S141-S140)/S140</f>
        <v>-0.0261904761904763</v>
      </c>
      <c r="U141" s="13" t="n">
        <v>0.66</v>
      </c>
      <c r="V141" s="9" t="n">
        <f aca="false">(U141-U140)/U140</f>
        <v>-0.108108108108109</v>
      </c>
      <c r="W141" s="0" t="n">
        <v>1.255</v>
      </c>
      <c r="X141" s="23" t="n">
        <f aca="false">(W141-W140)/W140</f>
        <v>0.0217373605796629</v>
      </c>
      <c r="Y141" s="0" t="n">
        <v>1.541</v>
      </c>
      <c r="Z141" s="24" t="n">
        <f aca="false">(Y141-Y140)/Y140</f>
        <v>-0.00342753670051095</v>
      </c>
    </row>
    <row r="142" customFormat="false" ht="13.8" hidden="false" customHeight="false" outlineLevel="0" collapsed="false">
      <c r="A142" s="8" t="n">
        <v>38601</v>
      </c>
      <c r="B142" s="0" t="n">
        <v>98.92</v>
      </c>
      <c r="C142" s="9" t="n">
        <f aca="false">(B142-B141)/B141</f>
        <v>0.0053867262933225</v>
      </c>
      <c r="D142" s="0" t="n">
        <v>11.98</v>
      </c>
      <c r="E142" s="9" t="n">
        <f aca="false">(D142-D141)/D141</f>
        <v>-0.117170228445099</v>
      </c>
      <c r="F142" s="0" t="n">
        <v>124.6</v>
      </c>
      <c r="G142" s="9" t="n">
        <f aca="false">(F142-F141)/F141</f>
        <v>0.0190561871268504</v>
      </c>
      <c r="H142" s="0" t="n">
        <f aca="false">AVERAGE(F128:F141)</f>
        <v>121.65</v>
      </c>
      <c r="I142" s="0" t="n">
        <f aca="false">AVERAGE(F135:F141)</f>
        <v>122.674285714286</v>
      </c>
      <c r="J142" s="0" t="n">
        <f aca="false">AVERAGE(F139:F141)</f>
        <v>121.833333333333</v>
      </c>
      <c r="K142" s="10" t="n">
        <v>68.47</v>
      </c>
      <c r="L142" s="9" t="n">
        <f aca="false">(K142-K141)/K141</f>
        <v>0.0321073258968947</v>
      </c>
      <c r="M142" s="10" t="n">
        <v>66.09</v>
      </c>
      <c r="N142" s="9" t="n">
        <f aca="false">(M142-M141)/M141</f>
        <v>0.00624238733252126</v>
      </c>
      <c r="O142" s="0" t="n">
        <v>2.55</v>
      </c>
      <c r="P142" s="9" t="n">
        <f aca="false">(O142-O141)/O141</f>
        <v>0.028225806451613</v>
      </c>
      <c r="Q142" s="10" t="n">
        <v>1.38</v>
      </c>
      <c r="R142" s="9" t="n">
        <f aca="false">(Q142-Q141)/Q141</f>
        <v>-0.0547945205479453</v>
      </c>
      <c r="S142" s="10" t="n">
        <v>4.13</v>
      </c>
      <c r="T142" s="9" t="n">
        <f aca="false">(S142-S141)/S141</f>
        <v>0.00977995110024451</v>
      </c>
      <c r="U142" s="13" t="n">
        <v>0.71</v>
      </c>
      <c r="V142" s="9" t="n">
        <f aca="false">(U142-U141)/U141</f>
        <v>0.0757575757575762</v>
      </c>
      <c r="W142" s="0" t="n">
        <v>1.2404</v>
      </c>
      <c r="X142" s="23" t="n">
        <f aca="false">(W142-W141)/W141</f>
        <v>-0.0116334661354581</v>
      </c>
      <c r="Y142" s="0" t="n">
        <v>1.5433</v>
      </c>
      <c r="Z142" s="24" t="n">
        <f aca="false">(Y142-Y141)/Y141</f>
        <v>0.00149253731343282</v>
      </c>
    </row>
    <row r="143" customFormat="false" ht="13.8" hidden="false" customHeight="false" outlineLevel="0" collapsed="false">
      <c r="A143" s="8" t="n">
        <v>38607</v>
      </c>
      <c r="B143" s="0" t="n">
        <v>99.32</v>
      </c>
      <c r="C143" s="9" t="n">
        <f aca="false">(B143-B142)/B142</f>
        <v>0.00404367165386162</v>
      </c>
      <c r="D143" s="0" t="n">
        <v>11.22</v>
      </c>
      <c r="E143" s="9" t="n">
        <f aca="false">(D143-D142)/D142</f>
        <v>-0.0634390651085142</v>
      </c>
      <c r="F143" s="0" t="n">
        <v>123.5</v>
      </c>
      <c r="G143" s="9" t="n">
        <f aca="false">(F143-F142)/F142</f>
        <v>-0.00882825040128406</v>
      </c>
      <c r="H143" s="0" t="n">
        <f aca="false">AVERAGE(F129:F142)</f>
        <v>121.967857142857</v>
      </c>
      <c r="I143" s="0" t="n">
        <f aca="false">AVERAGE(F136:F142)</f>
        <v>122.825714285714</v>
      </c>
      <c r="J143" s="0" t="n">
        <f aca="false">AVERAGE(F140:F142)</f>
        <v>122.543333333333</v>
      </c>
      <c r="K143" s="10" t="n">
        <v>64.81</v>
      </c>
      <c r="L143" s="9" t="n">
        <f aca="false">(K143-K142)/K142</f>
        <v>-0.0534540674748064</v>
      </c>
      <c r="M143" s="10" t="n">
        <v>63.24</v>
      </c>
      <c r="N143" s="9" t="n">
        <f aca="false">(M143-M142)/M142</f>
        <v>-0.0431230140717204</v>
      </c>
      <c r="O143" s="0" t="n">
        <v>2.61</v>
      </c>
      <c r="P143" s="9" t="n">
        <f aca="false">(O143-O142)/O142</f>
        <v>0.0235294117647057</v>
      </c>
      <c r="Q143" s="10" t="n">
        <v>1.37</v>
      </c>
      <c r="R143" s="9" t="n">
        <f aca="false">(Q143-Q142)/Q142</f>
        <v>-0.00724637681159405</v>
      </c>
      <c r="S143" s="10" t="n">
        <v>4.19</v>
      </c>
      <c r="T143" s="9" t="n">
        <f aca="false">(S143-S142)/S142</f>
        <v>0.0145278450363197</v>
      </c>
      <c r="U143" s="13" t="n">
        <v>0.79</v>
      </c>
      <c r="V143" s="9" t="n">
        <f aca="false">(U143-U142)/U142</f>
        <v>0.112676056338029</v>
      </c>
      <c r="W143" s="0" t="n">
        <v>1.2241</v>
      </c>
      <c r="X143" s="23" t="n">
        <f aca="false">(W143-W142)/W142</f>
        <v>-0.0131409222831345</v>
      </c>
      <c r="Y143" s="0" t="n">
        <v>1.553</v>
      </c>
      <c r="Z143" s="24" t="n">
        <f aca="false">(Y143-Y142)/Y142</f>
        <v>0.00628523294239619</v>
      </c>
    </row>
    <row r="144" customFormat="false" ht="13.8" hidden="false" customHeight="false" outlineLevel="0" collapsed="false">
      <c r="A144" s="8" t="n">
        <v>38614</v>
      </c>
      <c r="B144" s="0" t="n">
        <v>96.73</v>
      </c>
      <c r="C144" s="9" t="n">
        <f aca="false">(B144-B143)/B143</f>
        <v>-0.0260773258155456</v>
      </c>
      <c r="D144" s="0" t="n">
        <v>12.96</v>
      </c>
      <c r="E144" s="9" t="n">
        <f aca="false">(D144-D143)/D143</f>
        <v>0.155080213903743</v>
      </c>
      <c r="F144" s="0" t="n">
        <v>121.44</v>
      </c>
      <c r="G144" s="9" t="n">
        <f aca="false">(F144-F143)/F143</f>
        <v>-0.0166801619433199</v>
      </c>
      <c r="H144" s="0" t="n">
        <f aca="false">AVERAGE(F130:F143)</f>
        <v>122.203571428571</v>
      </c>
      <c r="I144" s="0" t="n">
        <f aca="false">AVERAGE(F137:F143)</f>
        <v>122.791428571429</v>
      </c>
      <c r="J144" s="0" t="n">
        <f aca="false">AVERAGE(F141:F143)</f>
        <v>123.456666666667</v>
      </c>
      <c r="K144" s="10" t="n">
        <v>63.84</v>
      </c>
      <c r="L144" s="9" t="n">
        <f aca="false">(K144-K143)/K143</f>
        <v>-0.0149668261070822</v>
      </c>
      <c r="M144" s="10" t="n">
        <v>61.22</v>
      </c>
      <c r="N144" s="9" t="n">
        <f aca="false">(M144-M143)/M143</f>
        <v>-0.0319418089816572</v>
      </c>
      <c r="O144" s="0" t="n">
        <v>2.64</v>
      </c>
      <c r="P144" s="9" t="n">
        <f aca="false">(O144-O143)/O143</f>
        <v>0.0114942528735635</v>
      </c>
      <c r="Q144" s="10" t="n">
        <v>1.39</v>
      </c>
      <c r="R144" s="9" t="n">
        <f aca="false">(Q144-Q143)/Q143</f>
        <v>0.0145985401459854</v>
      </c>
      <c r="S144" s="10" t="n">
        <v>4.23</v>
      </c>
      <c r="T144" s="9" t="n">
        <f aca="false">(S144-S143)/S143</f>
        <v>0.00954653937947495</v>
      </c>
      <c r="U144" s="13" t="n">
        <v>0.79</v>
      </c>
      <c r="V144" s="9" t="n">
        <f aca="false">(U144-U143)/U143</f>
        <v>0</v>
      </c>
      <c r="W144" s="0" t="n">
        <v>1.2045</v>
      </c>
      <c r="X144" s="23" t="n">
        <f aca="false">(W144-W143)/W143</f>
        <v>-0.0160117637447921</v>
      </c>
      <c r="Y144" s="0" t="n">
        <v>1.5564</v>
      </c>
      <c r="Z144" s="24" t="n">
        <f aca="false">(Y144-Y143)/Y143</f>
        <v>0.0021893110109466</v>
      </c>
    </row>
    <row r="145" customFormat="false" ht="13.8" hidden="false" customHeight="false" outlineLevel="0" collapsed="false">
      <c r="A145" s="8" t="n">
        <v>38621</v>
      </c>
      <c r="B145" s="0" t="n">
        <v>96.15</v>
      </c>
      <c r="C145" s="9" t="n">
        <f aca="false">(B145-B144)/B144</f>
        <v>-0.00599607153933628</v>
      </c>
      <c r="D145" s="0" t="n">
        <v>11.92</v>
      </c>
      <c r="E145" s="9" t="n">
        <f aca="false">(D145-D144)/D144</f>
        <v>-0.080246913580247</v>
      </c>
      <c r="F145" s="0" t="n">
        <v>123.04</v>
      </c>
      <c r="G145" s="9" t="n">
        <f aca="false">(F145-F144)/F144</f>
        <v>0.013175230566535</v>
      </c>
      <c r="H145" s="0" t="n">
        <f aca="false">AVERAGE(F131:F144)</f>
        <v>122.209285714286</v>
      </c>
      <c r="I145" s="0" t="n">
        <f aca="false">AVERAGE(F138:F144)</f>
        <v>122.585714285714</v>
      </c>
      <c r="J145" s="0" t="n">
        <f aca="false">AVERAGE(F142:F144)</f>
        <v>123.18</v>
      </c>
      <c r="K145" s="10" t="n">
        <v>66.43</v>
      </c>
      <c r="L145" s="9" t="n">
        <f aca="false">(K145-K144)/K144</f>
        <v>0.0405701754385965</v>
      </c>
      <c r="M145" s="10" t="n">
        <v>63.63</v>
      </c>
      <c r="N145" s="9" t="n">
        <f aca="false">(M145-M144)/M144</f>
        <v>0.0393662201894806</v>
      </c>
      <c r="O145" s="0" t="n">
        <v>2.67</v>
      </c>
      <c r="P145" s="9" t="n">
        <f aca="false">(O145-O144)/O144</f>
        <v>0.0113636363636361</v>
      </c>
      <c r="Q145" s="10" t="n">
        <v>1.46</v>
      </c>
      <c r="R145" s="9" t="n">
        <f aca="false">(Q145-Q144)/Q144</f>
        <v>0.0503597122302157</v>
      </c>
      <c r="S145" s="10" t="n">
        <v>4.3</v>
      </c>
      <c r="T145" s="9" t="n">
        <f aca="false">(S145-S144)/S144</f>
        <v>0.0165484633569738</v>
      </c>
      <c r="U145" s="13" t="n">
        <v>0.86</v>
      </c>
      <c r="V145" s="9" t="n">
        <f aca="false">(U145-U144)/U144</f>
        <v>0.0886075949367085</v>
      </c>
      <c r="W145" s="0" t="n">
        <v>1.2014</v>
      </c>
      <c r="X145" s="23" t="n">
        <f aca="false">(W145-W144)/W144</f>
        <v>-0.00257368202573672</v>
      </c>
      <c r="Y145" s="0" t="n">
        <v>1.5561</v>
      </c>
      <c r="Z145" s="24" t="n">
        <f aca="false">(Y145-Y144)/Y144</f>
        <v>-0.000192752505782554</v>
      </c>
    </row>
    <row r="146" customFormat="false" ht="13.8" hidden="false" customHeight="false" outlineLevel="0" collapsed="false">
      <c r="A146" s="8" t="n">
        <v>38628</v>
      </c>
      <c r="B146" s="0" t="n">
        <v>95.12</v>
      </c>
      <c r="C146" s="9" t="n">
        <f aca="false">(B146-B145)/B145</f>
        <v>-0.0107124284971399</v>
      </c>
      <c r="D146" s="0" t="n">
        <v>14.59</v>
      </c>
      <c r="E146" s="9" t="n">
        <f aca="false">(D146-D145)/D145</f>
        <v>0.223993288590604</v>
      </c>
      <c r="F146" s="0" t="n">
        <v>119.61</v>
      </c>
      <c r="G146" s="9" t="n">
        <f aca="false">(F146-F145)/F145</f>
        <v>-0.0278771131339402</v>
      </c>
      <c r="H146" s="0" t="n">
        <f aca="false">AVERAGE(F132:F145)</f>
        <v>122.499285714286</v>
      </c>
      <c r="I146" s="0" t="n">
        <f aca="false">AVERAGE(F139:F145)</f>
        <v>122.582857142857</v>
      </c>
      <c r="J146" s="0" t="n">
        <f aca="false">AVERAGE(F143:F145)</f>
        <v>122.66</v>
      </c>
      <c r="K146" s="10" t="n">
        <v>66.06</v>
      </c>
      <c r="L146" s="9" t="n">
        <f aca="false">(K146-K145)/K145</f>
        <v>-0.00556977269306043</v>
      </c>
      <c r="M146" s="10" t="n">
        <v>62.16</v>
      </c>
      <c r="N146" s="9" t="n">
        <f aca="false">(M146-M145)/M145</f>
        <v>-0.0231023102310232</v>
      </c>
      <c r="O146" s="0" t="n">
        <v>2.65</v>
      </c>
      <c r="P146" s="9" t="n">
        <f aca="false">(O146-O145)/O145</f>
        <v>-0.00749063670411969</v>
      </c>
      <c r="Q146" s="10" t="n">
        <v>1.59</v>
      </c>
      <c r="R146" s="9" t="n">
        <f aca="false">(Q146-Q145)/Q145</f>
        <v>0.0890410958904109</v>
      </c>
      <c r="S146" s="10" t="n">
        <v>4.37</v>
      </c>
      <c r="T146" s="9" t="n">
        <f aca="false">(S146-S145)/S145</f>
        <v>0.0162790697674419</v>
      </c>
      <c r="U146" s="13" t="n">
        <v>0.84</v>
      </c>
      <c r="V146" s="9" t="n">
        <f aca="false">(U146-U145)/U145</f>
        <v>-0.0232558139534881</v>
      </c>
      <c r="W146" s="0" t="n">
        <v>1.213</v>
      </c>
      <c r="X146" s="23" t="n">
        <f aca="false">(W146-W145)/W145</f>
        <v>0.00965540203096392</v>
      </c>
      <c r="Y146" s="0" t="n">
        <v>1.5505</v>
      </c>
      <c r="Z146" s="24" t="n">
        <f aca="false">(Y146-Y145)/Y145</f>
        <v>-0.00359874044084574</v>
      </c>
    </row>
    <row r="147" customFormat="false" ht="13.8" hidden="false" customHeight="false" outlineLevel="0" collapsed="false">
      <c r="A147" s="8" t="n">
        <v>38635</v>
      </c>
      <c r="B147" s="0" t="n">
        <v>95.23</v>
      </c>
      <c r="C147" s="9" t="n">
        <f aca="false">(B147-B146)/B146</f>
        <v>0.00115643397813288</v>
      </c>
      <c r="D147" s="0" t="n">
        <v>14.87</v>
      </c>
      <c r="E147" s="9" t="n">
        <f aca="false">(D147-D146)/D146</f>
        <v>0.0191912268677176</v>
      </c>
      <c r="F147" s="0" t="n">
        <v>118.67</v>
      </c>
      <c r="G147" s="9" t="n">
        <f aca="false">(F147-F146)/F146</f>
        <v>-0.00785887467603041</v>
      </c>
      <c r="H147" s="0" t="n">
        <f aca="false">AVERAGE(F133:F146)</f>
        <v>122.505</v>
      </c>
      <c r="I147" s="0" t="n">
        <f aca="false">AVERAGE(F140:F146)</f>
        <v>122.174285714286</v>
      </c>
      <c r="J147" s="0" t="n">
        <f aca="false">AVERAGE(F144:F146)</f>
        <v>121.363333333333</v>
      </c>
      <c r="K147" s="10" t="n">
        <v>63.06</v>
      </c>
      <c r="L147" s="9" t="n">
        <f aca="false">(K147-K146)/K146</f>
        <v>-0.0454132606721163</v>
      </c>
      <c r="M147" s="10" t="n">
        <v>58.93</v>
      </c>
      <c r="N147" s="9" t="n">
        <f aca="false">(M147-M146)/M146</f>
        <v>-0.0519626769626769</v>
      </c>
      <c r="O147" s="0" t="n">
        <v>2.6</v>
      </c>
      <c r="P147" s="9" t="n">
        <f aca="false">(O147-O146)/O146</f>
        <v>-0.0188679245283022</v>
      </c>
      <c r="Q147" s="10" t="n">
        <v>1.71</v>
      </c>
      <c r="R147" s="9" t="n">
        <f aca="false">(Q147-Q146)/Q146</f>
        <v>0.0754716981132076</v>
      </c>
      <c r="S147" s="10" t="n">
        <v>4.45</v>
      </c>
      <c r="T147" s="9" t="n">
        <f aca="false">(S147-S146)/S146</f>
        <v>0.0183066361556064</v>
      </c>
      <c r="U147" s="13" t="n">
        <v>0.79</v>
      </c>
      <c r="V147" s="9" t="n">
        <f aca="false">(U147-U146)/U146</f>
        <v>-0.0595238095238098</v>
      </c>
      <c r="W147" s="0" t="n">
        <v>1.2089</v>
      </c>
      <c r="X147" s="23" t="n">
        <f aca="false">(W147-W146)/W146</f>
        <v>-0.00338004946413849</v>
      </c>
      <c r="Y147" s="0" t="n">
        <v>1.5505</v>
      </c>
      <c r="Z147" s="24" t="n">
        <f aca="false">(Y147-Y146)/Y146</f>
        <v>0</v>
      </c>
    </row>
    <row r="148" customFormat="false" ht="13.8" hidden="false" customHeight="false" outlineLevel="0" collapsed="false">
      <c r="A148" s="8" t="n">
        <v>38642</v>
      </c>
      <c r="B148" s="0" t="n">
        <v>96.4</v>
      </c>
      <c r="C148" s="9" t="n">
        <f aca="false">(B148-B147)/B147</f>
        <v>0.0122860443137667</v>
      </c>
      <c r="D148" s="0" t="n">
        <v>16.13</v>
      </c>
      <c r="E148" s="9" t="n">
        <f aca="false">(D148-D147)/D147</f>
        <v>0.0847343644922663</v>
      </c>
      <c r="F148" s="0" t="n">
        <v>118.13</v>
      </c>
      <c r="G148" s="9" t="n">
        <f aca="false">(F148-F147)/F147</f>
        <v>-0.00455043397657374</v>
      </c>
      <c r="H148" s="0" t="n">
        <f aca="false">AVERAGE(F134:F147)</f>
        <v>122.315714285714</v>
      </c>
      <c r="I148" s="0" t="n">
        <f aca="false">AVERAGE(F141:F147)</f>
        <v>121.875714285714</v>
      </c>
      <c r="J148" s="0" t="n">
        <f aca="false">AVERAGE(F145:F147)</f>
        <v>120.44</v>
      </c>
      <c r="K148" s="10" t="n">
        <v>62.87</v>
      </c>
      <c r="L148" s="9" t="n">
        <f aca="false">(K148-K147)/K147</f>
        <v>-0.00301300348874096</v>
      </c>
      <c r="M148" s="10" t="n">
        <v>58.59</v>
      </c>
      <c r="N148" s="9" t="n">
        <f aca="false">(M148-M147)/M147</f>
        <v>-0.00576955710164596</v>
      </c>
      <c r="O148" s="0" t="n">
        <v>2.65</v>
      </c>
      <c r="P148" s="9" t="n">
        <f aca="false">(O148-O147)/O147</f>
        <v>0.0192307692307695</v>
      </c>
      <c r="Q148" s="10" t="n">
        <v>1.67</v>
      </c>
      <c r="R148" s="9" t="n">
        <f aca="false">(Q148-Q147)/Q147</f>
        <v>-0.0233918128654971</v>
      </c>
      <c r="S148" s="10" t="n">
        <v>4.46</v>
      </c>
      <c r="T148" s="9" t="n">
        <f aca="false">(S148-S147)/S147</f>
        <v>0.00224719101123591</v>
      </c>
      <c r="U148" s="13" t="n">
        <v>0.69</v>
      </c>
      <c r="V148" s="9" t="n">
        <f aca="false">(U148-U147)/U147</f>
        <v>-0.126582278481013</v>
      </c>
      <c r="W148" s="0" t="n">
        <v>1.1953</v>
      </c>
      <c r="X148" s="23" t="n">
        <f aca="false">(W148-W147)/W147</f>
        <v>-0.0112498966002151</v>
      </c>
      <c r="Y148" s="0" t="n">
        <v>1.544</v>
      </c>
      <c r="Z148" s="24" t="n">
        <f aca="false">(Y148-Y147)/Y147</f>
        <v>-0.0041921960657852</v>
      </c>
    </row>
    <row r="149" customFormat="false" ht="13.8" hidden="false" customHeight="false" outlineLevel="0" collapsed="false">
      <c r="A149" s="8" t="n">
        <v>38649</v>
      </c>
      <c r="B149" s="0" t="n">
        <v>99.24</v>
      </c>
      <c r="C149" s="9" t="n">
        <f aca="false">(B149-B148)/B148</f>
        <v>0.029460580912863</v>
      </c>
      <c r="D149" s="0" t="n">
        <v>14.25</v>
      </c>
      <c r="E149" s="9" t="n">
        <f aca="false">(D149-D148)/D148</f>
        <v>-0.116553006819591</v>
      </c>
      <c r="F149" s="0" t="n">
        <v>119.8</v>
      </c>
      <c r="G149" s="9" t="n">
        <f aca="false">(F149-F148)/F148</f>
        <v>0.0141369677473969</v>
      </c>
      <c r="H149" s="0" t="n">
        <f aca="false">AVERAGE(F135:F148)</f>
        <v>121.979285714286</v>
      </c>
      <c r="I149" s="0" t="n">
        <f aca="false">AVERAGE(F142:F148)</f>
        <v>121.284285714286</v>
      </c>
      <c r="J149" s="0" t="n">
        <f aca="false">AVERAGE(F146:F148)</f>
        <v>118.803333333333</v>
      </c>
      <c r="K149" s="10" t="n">
        <v>62.28</v>
      </c>
      <c r="L149" s="9" t="n">
        <f aca="false">(K149-K148)/K148</f>
        <v>-0.00938444409098133</v>
      </c>
      <c r="M149" s="10" t="n">
        <v>58.15</v>
      </c>
      <c r="N149" s="9" t="n">
        <f aca="false">(M149-M148)/M148</f>
        <v>-0.00750981396142695</v>
      </c>
      <c r="O149" s="0" t="n">
        <v>2.62</v>
      </c>
      <c r="P149" s="9" t="n">
        <f aca="false">(O149-O148)/O148</f>
        <v>-0.0113207547169812</v>
      </c>
      <c r="Q149" s="10" t="n">
        <v>1.8</v>
      </c>
      <c r="R149" s="9" t="n">
        <f aca="false">(Q149-Q148)/Q148</f>
        <v>0.0778443113772456</v>
      </c>
      <c r="S149" s="10" t="n">
        <v>4.55</v>
      </c>
      <c r="T149" s="9" t="n">
        <f aca="false">(S149-S148)/S148</f>
        <v>0.0201793721973094</v>
      </c>
      <c r="U149" s="13" t="n">
        <v>0.73</v>
      </c>
      <c r="V149" s="9" t="n">
        <f aca="false">(U149-U148)/U148</f>
        <v>0.0579710144927535</v>
      </c>
      <c r="W149" s="0" t="n">
        <v>1.207</v>
      </c>
      <c r="X149" s="23" t="n">
        <f aca="false">(W149-W148)/W148</f>
        <v>0.00978833765581866</v>
      </c>
      <c r="Y149" s="0" t="n">
        <v>1.5453</v>
      </c>
      <c r="Z149" s="24" t="n">
        <f aca="false">(Y149-Y148)/Y148</f>
        <v>0.000841968911917006</v>
      </c>
    </row>
    <row r="150" customFormat="false" ht="13.8" hidden="false" customHeight="false" outlineLevel="0" collapsed="false">
      <c r="A150" s="8" t="n">
        <v>38656</v>
      </c>
      <c r="B150" s="0" t="n">
        <v>99.8</v>
      </c>
      <c r="C150" s="9" t="n">
        <f aca="false">(B150-B149)/B149</f>
        <v>0.00564288593309152</v>
      </c>
      <c r="D150" s="0" t="n">
        <v>13.17</v>
      </c>
      <c r="E150" s="9" t="n">
        <f aca="false">(D150-D149)/D149</f>
        <v>-0.0757894736842105</v>
      </c>
      <c r="F150" s="0" t="n">
        <v>122.11</v>
      </c>
      <c r="G150" s="9" t="n">
        <f aca="false">(F150-F149)/F149</f>
        <v>0.0192821368948247</v>
      </c>
      <c r="H150" s="0" t="n">
        <f aca="false">AVERAGE(F136:F149)</f>
        <v>121.712142857143</v>
      </c>
      <c r="I150" s="0" t="n">
        <f aca="false">AVERAGE(F143:F149)</f>
        <v>120.598571428571</v>
      </c>
      <c r="J150" s="0" t="n">
        <f aca="false">AVERAGE(F147:F149)</f>
        <v>118.866666666667</v>
      </c>
      <c r="K150" s="10" t="n">
        <v>61.33</v>
      </c>
      <c r="L150" s="9" t="n">
        <f aca="false">(K150-K149)/K149</f>
        <v>-0.0152536929993578</v>
      </c>
      <c r="M150" s="10" t="n">
        <v>58.5</v>
      </c>
      <c r="N150" s="9" t="n">
        <f aca="false">(M150-M149)/M149</f>
        <v>0.00601891659501292</v>
      </c>
      <c r="O150" s="0" t="n">
        <v>2.64</v>
      </c>
      <c r="P150" s="9" t="n">
        <f aca="false">(O150-O149)/O149</f>
        <v>0.00763358778625938</v>
      </c>
      <c r="Q150" s="10" t="n">
        <v>1.87</v>
      </c>
      <c r="R150" s="9" t="n">
        <f aca="false">(Q150-Q149)/Q149</f>
        <v>0.0388888888888889</v>
      </c>
      <c r="S150" s="10" t="n">
        <v>4.61</v>
      </c>
      <c r="T150" s="9" t="n">
        <f aca="false">(S150-S149)/S149</f>
        <v>0.0131868131868133</v>
      </c>
      <c r="U150" s="13" t="n">
        <v>0.74</v>
      </c>
      <c r="V150" s="9" t="n">
        <f aca="false">(U150-U149)/U149</f>
        <v>0.0136986301369866</v>
      </c>
      <c r="W150" s="0" t="n">
        <v>1.1823</v>
      </c>
      <c r="X150" s="23" t="n">
        <f aca="false">(W150-W149)/W149</f>
        <v>-0.0204639602319803</v>
      </c>
      <c r="Y150" s="0" t="n">
        <v>1.5442</v>
      </c>
      <c r="Z150" s="24" t="n">
        <f aca="false">(Y150-Y149)/Y149</f>
        <v>-0.000711835889471222</v>
      </c>
    </row>
    <row r="151" customFormat="false" ht="13.8" hidden="false" customHeight="false" outlineLevel="0" collapsed="false">
      <c r="A151" s="8" t="n">
        <v>38663</v>
      </c>
      <c r="B151" s="0" t="n">
        <v>103.58</v>
      </c>
      <c r="C151" s="9" t="n">
        <f aca="false">(B151-B150)/B150</f>
        <v>0.037875751503006</v>
      </c>
      <c r="D151" s="0" t="n">
        <v>11.63</v>
      </c>
      <c r="E151" s="9" t="n">
        <f aca="false">(D151-D150)/D150</f>
        <v>-0.116932422171602</v>
      </c>
      <c r="F151" s="0" t="n">
        <v>123.76</v>
      </c>
      <c r="G151" s="9" t="n">
        <f aca="false">(F151-F150)/F150</f>
        <v>0.0135124068462862</v>
      </c>
      <c r="H151" s="0" t="n">
        <f aca="false">AVERAGE(F137:F150)</f>
        <v>121.595714285714</v>
      </c>
      <c r="I151" s="0" t="n">
        <f aca="false">AVERAGE(F144:F150)</f>
        <v>120.4</v>
      </c>
      <c r="J151" s="0" t="n">
        <f aca="false">AVERAGE(F148:F150)</f>
        <v>120.013333333333</v>
      </c>
      <c r="K151" s="10" t="n">
        <v>60.34</v>
      </c>
      <c r="L151" s="9" t="n">
        <f aca="false">(K151-K150)/K150</f>
        <v>-0.0161421816403065</v>
      </c>
      <c r="M151" s="10" t="n">
        <v>58.74</v>
      </c>
      <c r="N151" s="9" t="n">
        <f aca="false">(M151-M150)/M150</f>
        <v>0.00410256410256414</v>
      </c>
      <c r="O151" s="0" t="n">
        <v>2.56</v>
      </c>
      <c r="P151" s="9" t="n">
        <f aca="false">(O151-O150)/O150</f>
        <v>-0.0303030303030303</v>
      </c>
      <c r="Q151" s="10" t="n">
        <v>1.96</v>
      </c>
      <c r="R151" s="9" t="n">
        <f aca="false">(Q151-Q150)/Q150</f>
        <v>0.0481283422459892</v>
      </c>
      <c r="S151" s="10" t="n">
        <v>4.6</v>
      </c>
      <c r="T151" s="9" t="n">
        <f aca="false">(S151-S150)/S150</f>
        <v>-0.00216919739696327</v>
      </c>
      <c r="U151" s="13" t="n">
        <v>0.72</v>
      </c>
      <c r="V151" s="9" t="n">
        <f aca="false">(U151-U150)/U150</f>
        <v>-0.0270270270270275</v>
      </c>
      <c r="W151" s="0" t="n">
        <v>1.1709</v>
      </c>
      <c r="X151" s="23" t="n">
        <f aca="false">(W151-W150)/W150</f>
        <v>-0.00964222278609478</v>
      </c>
      <c r="Y151" s="0" t="n">
        <v>1.538</v>
      </c>
      <c r="Z151" s="24" t="n">
        <f aca="false">(Y151-Y150)/Y150</f>
        <v>-0.00401502396062685</v>
      </c>
    </row>
    <row r="152" customFormat="false" ht="13.8" hidden="false" customHeight="false" outlineLevel="0" collapsed="false">
      <c r="A152" s="8" t="n">
        <v>38670</v>
      </c>
      <c r="B152" s="0" t="n">
        <v>103.69</v>
      </c>
      <c r="C152" s="9" t="n">
        <f aca="false">(B152-B151)/B151</f>
        <v>0.00106198107742807</v>
      </c>
      <c r="D152" s="0" t="n">
        <v>11.12</v>
      </c>
      <c r="E152" s="9" t="n">
        <f aca="false">(D152-D151)/D151</f>
        <v>-0.0438521066208084</v>
      </c>
      <c r="F152" s="0" t="n">
        <v>125.13</v>
      </c>
      <c r="G152" s="9" t="n">
        <f aca="false">(F152-F151)/F151</f>
        <v>0.0110698125404007</v>
      </c>
      <c r="H152" s="0" t="n">
        <f aca="false">AVERAGE(F138:F151)</f>
        <v>121.658571428571</v>
      </c>
      <c r="I152" s="0" t="n">
        <f aca="false">AVERAGE(F145:F151)</f>
        <v>120.731428571429</v>
      </c>
      <c r="J152" s="0" t="n">
        <f aca="false">AVERAGE(F149:F151)</f>
        <v>121.89</v>
      </c>
      <c r="K152" s="10" t="n">
        <v>58.8</v>
      </c>
      <c r="L152" s="9" t="n">
        <f aca="false">(K152-K151)/K151</f>
        <v>-0.0255220417633412</v>
      </c>
      <c r="M152" s="10" t="n">
        <v>56.79</v>
      </c>
      <c r="N152" s="9" t="n">
        <f aca="false">(M152-M151)/M151</f>
        <v>-0.033197139938713</v>
      </c>
      <c r="O152" s="0" t="n">
        <v>2.41</v>
      </c>
      <c r="P152" s="9" t="n">
        <f aca="false">(O152-O151)/O151</f>
        <v>-0.0585937499999998</v>
      </c>
      <c r="Q152" s="10" t="n">
        <v>2.05</v>
      </c>
      <c r="R152" s="9" t="n">
        <f aca="false">(Q152-Q151)/Q151</f>
        <v>0.0459183673469387</v>
      </c>
      <c r="S152" s="10" t="n">
        <v>4.52</v>
      </c>
      <c r="T152" s="9" t="n">
        <f aca="false">(S152-S151)/S151</f>
        <v>-0.0173913043478261</v>
      </c>
      <c r="U152" s="13" t="n">
        <v>0.6</v>
      </c>
      <c r="V152" s="9" t="n">
        <f aca="false">(U152-U151)/U151</f>
        <v>-0.166666666666667</v>
      </c>
      <c r="W152" s="0" t="n">
        <v>1.1763</v>
      </c>
      <c r="X152" s="23" t="n">
        <f aca="false">(W152-W151)/W151</f>
        <v>0.00461183704842416</v>
      </c>
      <c r="Y152" s="0" t="n">
        <v>1.5473</v>
      </c>
      <c r="Z152" s="24" t="n">
        <f aca="false">(Y152-Y151)/Y151</f>
        <v>0.00604681404421318</v>
      </c>
    </row>
    <row r="153" customFormat="false" ht="13.8" hidden="false" customHeight="false" outlineLevel="0" collapsed="false">
      <c r="A153" s="8" t="n">
        <v>38677</v>
      </c>
      <c r="B153" s="0" t="n">
        <v>105.84</v>
      </c>
      <c r="C153" s="9" t="n">
        <f aca="false">(B153-B152)/B152</f>
        <v>0.0207348828238018</v>
      </c>
      <c r="D153" s="0" t="n">
        <v>10.88</v>
      </c>
      <c r="E153" s="9" t="n">
        <f aca="false">(D153-D152)/D152</f>
        <v>-0.0215827338129495</v>
      </c>
      <c r="F153" s="0" t="n">
        <v>127.13</v>
      </c>
      <c r="G153" s="9" t="n">
        <f aca="false">(F153-F152)/F152</f>
        <v>0.0159833772876209</v>
      </c>
      <c r="H153" s="0" t="n">
        <f aca="false">AVERAGE(F139:F152)</f>
        <v>121.806428571429</v>
      </c>
      <c r="I153" s="0" t="n">
        <f aca="false">AVERAGE(F146:F152)</f>
        <v>121.03</v>
      </c>
      <c r="J153" s="0" t="n">
        <f aca="false">AVERAGE(F150:F152)</f>
        <v>123.666666666667</v>
      </c>
      <c r="K153" s="10" t="n">
        <v>57</v>
      </c>
      <c r="L153" s="9" t="n">
        <f aca="false">(K153-K152)/K152</f>
        <v>-0.0306122448979591</v>
      </c>
      <c r="M153" s="10" t="n">
        <v>53.77</v>
      </c>
      <c r="N153" s="9" t="n">
        <f aca="false">(M153-M152)/M152</f>
        <v>-0.0531783764747314</v>
      </c>
      <c r="O153" s="0" t="n">
        <v>2.4</v>
      </c>
      <c r="P153" s="9" t="n">
        <f aca="false">(O153-O152)/O152</f>
        <v>-0.00414937759336091</v>
      </c>
      <c r="Q153" s="10" t="n">
        <v>1.96</v>
      </c>
      <c r="R153" s="9" t="n">
        <f aca="false">(Q153-Q152)/Q152</f>
        <v>-0.0439024390243902</v>
      </c>
      <c r="S153" s="10" t="n">
        <v>4.45</v>
      </c>
      <c r="T153" s="9" t="n">
        <f aca="false">(S153-S152)/S152</f>
        <v>-0.0154867256637167</v>
      </c>
      <c r="U153" s="13" t="n">
        <v>0.58</v>
      </c>
      <c r="V153" s="9" t="n">
        <f aca="false">(U153-U152)/U152</f>
        <v>-0.0333333333333328</v>
      </c>
      <c r="W153" s="0" t="n">
        <v>1.1719</v>
      </c>
      <c r="X153" s="23" t="n">
        <f aca="false">(W153-W152)/W152</f>
        <v>-0.00374054237864487</v>
      </c>
      <c r="Y153" s="0" t="n">
        <v>1.5465</v>
      </c>
      <c r="Z153" s="24" t="n">
        <f aca="false">(Y153-Y152)/Y152</f>
        <v>-0.000517029664576948</v>
      </c>
    </row>
    <row r="154" customFormat="false" ht="13.8" hidden="false" customHeight="false" outlineLevel="0" collapsed="false">
      <c r="A154" s="8" t="n">
        <v>38684</v>
      </c>
      <c r="B154" s="0" t="n">
        <v>104.47</v>
      </c>
      <c r="C154" s="9" t="n">
        <f aca="false">(B154-B153)/B153</f>
        <v>-0.0129440665154951</v>
      </c>
      <c r="D154" s="0" t="n">
        <v>11.01</v>
      </c>
      <c r="E154" s="9" t="n">
        <f aca="false">(D154-D153)/D153</f>
        <v>0.0119485294117646</v>
      </c>
      <c r="F154" s="0" t="n">
        <v>126.85</v>
      </c>
      <c r="G154" s="9" t="n">
        <f aca="false">(F154-F153)/F153</f>
        <v>-0.00220246991268781</v>
      </c>
      <c r="H154" s="0" t="n">
        <f aca="false">AVERAGE(F140:F153)</f>
        <v>122.139285714286</v>
      </c>
      <c r="I154" s="0" t="n">
        <f aca="false">AVERAGE(F147:F153)</f>
        <v>122.104285714286</v>
      </c>
      <c r="J154" s="0" t="n">
        <f aca="false">AVERAGE(F151:F153)</f>
        <v>125.34</v>
      </c>
      <c r="K154" s="10" t="n">
        <v>58.13</v>
      </c>
      <c r="L154" s="9" t="n">
        <f aca="false">(K154-K153)/K153</f>
        <v>0.0198245614035088</v>
      </c>
      <c r="M154" s="10" t="n">
        <v>53.57</v>
      </c>
      <c r="N154" s="9" t="n">
        <f aca="false">(M154-M153)/M153</f>
        <v>-0.00371954621536178</v>
      </c>
      <c r="O154" s="0" t="n">
        <v>2.37</v>
      </c>
      <c r="P154" s="9" t="n">
        <f aca="false">(O154-O153)/O153</f>
        <v>-0.0125000000000001</v>
      </c>
      <c r="Q154" s="10" t="n">
        <v>2.04</v>
      </c>
      <c r="R154" s="9" t="n">
        <f aca="false">(Q154-Q153)/Q153</f>
        <v>0.0408163265306123</v>
      </c>
      <c r="S154" s="10" t="n">
        <v>4.48</v>
      </c>
      <c r="T154" s="9" t="n">
        <f aca="false">(S154-S153)/S153</f>
        <v>0.00674157303370792</v>
      </c>
      <c r="U154" s="13" t="n">
        <v>0.600000000000001</v>
      </c>
      <c r="V154" s="9" t="n">
        <f aca="false">(U154-U153)/U153</f>
        <v>0.0344827586206904</v>
      </c>
      <c r="W154" s="0" t="n">
        <v>1.1712</v>
      </c>
      <c r="X154" s="23" t="n">
        <f aca="false">(W154-W153)/W153</f>
        <v>-0.000597320590494004</v>
      </c>
      <c r="Y154" s="0" t="n">
        <v>1.5433</v>
      </c>
      <c r="Z154" s="24" t="n">
        <f aca="false">(Y154-Y153)/Y153</f>
        <v>-0.00206918849013908</v>
      </c>
    </row>
    <row r="155" customFormat="false" ht="13.8" hidden="false" customHeight="false" outlineLevel="0" collapsed="false">
      <c r="A155" s="8" t="n">
        <v>38691</v>
      </c>
      <c r="B155" s="0" t="n">
        <v>104.12</v>
      </c>
      <c r="C155" s="9" t="n">
        <f aca="false">(B155-B154)/B154</f>
        <v>-0.00335024408921216</v>
      </c>
      <c r="D155" s="0" t="n">
        <v>11.69</v>
      </c>
      <c r="E155" s="9" t="n">
        <f aca="false">(D155-D154)/D154</f>
        <v>0.0617620345140781</v>
      </c>
      <c r="F155" s="0" t="n">
        <v>126.33</v>
      </c>
      <c r="G155" s="9" t="n">
        <f aca="false">(F155-F154)/F154</f>
        <v>-0.00409932991722504</v>
      </c>
      <c r="H155" s="0" t="n">
        <f aca="false">AVERAGE(F141:F154)</f>
        <v>122.574285714286</v>
      </c>
      <c r="I155" s="0" t="n">
        <f aca="false">AVERAGE(F148:F154)</f>
        <v>123.272857142857</v>
      </c>
      <c r="J155" s="0" t="n">
        <f aca="false">AVERAGE(F152:F154)</f>
        <v>126.37</v>
      </c>
      <c r="K155" s="10" t="n">
        <v>57.78</v>
      </c>
      <c r="L155" s="9" t="n">
        <f aca="false">(K155-K154)/K154</f>
        <v>-0.0060209874419405</v>
      </c>
      <c r="M155" s="10" t="n">
        <v>53.59</v>
      </c>
      <c r="N155" s="9" t="n">
        <f aca="false">(M155-M154)/M154</f>
        <v>0.000373343289154436</v>
      </c>
      <c r="O155" s="0" t="n">
        <v>2.33</v>
      </c>
      <c r="P155" s="9" t="n">
        <f aca="false">(O155-O154)/O154</f>
        <v>-0.0168776371308019</v>
      </c>
      <c r="Q155" s="10" t="n">
        <v>2.1</v>
      </c>
      <c r="R155" s="9" t="n">
        <f aca="false">(Q155-Q154)/Q154</f>
        <v>0.0294117647058824</v>
      </c>
      <c r="S155" s="10" t="n">
        <v>4.52</v>
      </c>
      <c r="T155" s="9" t="n">
        <f aca="false">(S155-S154)/S154</f>
        <v>0.00892857142857124</v>
      </c>
      <c r="U155" s="13" t="n">
        <v>0.609999999999999</v>
      </c>
      <c r="V155" s="9" t="n">
        <f aca="false">(U155-U154)/U154</f>
        <v>0.0166666666666648</v>
      </c>
      <c r="W155" s="0" t="n">
        <v>1.1821</v>
      </c>
      <c r="X155" s="23" t="n">
        <f aca="false">(W155-W154)/W154</f>
        <v>0.00930669398907096</v>
      </c>
      <c r="Y155" s="0" t="n">
        <v>1.539</v>
      </c>
      <c r="Z155" s="24" t="n">
        <f aca="false">(Y155-Y154)/Y154</f>
        <v>-0.00278623728374261</v>
      </c>
    </row>
    <row r="156" customFormat="false" ht="13.8" hidden="false" customHeight="false" outlineLevel="0" collapsed="false">
      <c r="A156" s="8" t="n">
        <v>38698</v>
      </c>
      <c r="B156" s="0" t="n">
        <v>105.79</v>
      </c>
      <c r="C156" s="9" t="n">
        <f aca="false">(B156-B155)/B155</f>
        <v>0.0160391855551287</v>
      </c>
      <c r="D156" s="0" t="n">
        <v>10.68</v>
      </c>
      <c r="E156" s="9" t="n">
        <f aca="false">(D156-D155)/D155</f>
        <v>-0.0863986313088109</v>
      </c>
      <c r="F156" s="0" t="n">
        <v>126.36</v>
      </c>
      <c r="G156" s="9" t="n">
        <f aca="false">(F156-F155)/F155</f>
        <v>0.00023747328425553</v>
      </c>
      <c r="H156" s="0" t="n">
        <f aca="false">AVERAGE(F142:F155)</f>
        <v>122.864285714286</v>
      </c>
      <c r="I156" s="0" t="n">
        <f aca="false">AVERAGE(F149:F155)</f>
        <v>124.444285714286</v>
      </c>
      <c r="J156" s="0" t="n">
        <f aca="false">AVERAGE(F153:F155)</f>
        <v>126.77</v>
      </c>
      <c r="K156" s="10" t="n">
        <v>59.83</v>
      </c>
      <c r="L156" s="9" t="n">
        <f aca="false">(K156-K155)/K155</f>
        <v>0.0354794046382831</v>
      </c>
      <c r="M156" s="10" t="n">
        <v>56.07</v>
      </c>
      <c r="N156" s="9" t="n">
        <f aca="false">(M156-M155)/M155</f>
        <v>0.0462772905392797</v>
      </c>
      <c r="O156" s="0" t="n">
        <v>2.32</v>
      </c>
      <c r="P156" s="9" t="n">
        <f aca="false">(O156-O155)/O155</f>
        <v>-0.00429184549356195</v>
      </c>
      <c r="Q156" s="10" t="n">
        <v>2.08</v>
      </c>
      <c r="R156" s="9" t="n">
        <f aca="false">(Q156-Q155)/Q155</f>
        <v>-0.00952380952380953</v>
      </c>
      <c r="S156" s="10" t="n">
        <v>4.49</v>
      </c>
      <c r="T156" s="9" t="n">
        <f aca="false">(S156-S155)/S155</f>
        <v>-0.00663716814159278</v>
      </c>
      <c r="U156" s="13" t="n">
        <v>0.66</v>
      </c>
      <c r="V156" s="9" t="n">
        <f aca="false">(U156-U155)/U155</f>
        <v>0.0819672131147555</v>
      </c>
      <c r="W156" s="0" t="n">
        <v>1.2008</v>
      </c>
      <c r="X156" s="23" t="n">
        <f aca="false">(W156-W155)/W155</f>
        <v>0.0158193046273582</v>
      </c>
      <c r="Y156" s="0" t="n">
        <v>1.5489</v>
      </c>
      <c r="Z156" s="24" t="n">
        <f aca="false">(Y156-Y155)/Y155</f>
        <v>0.00643274853801171</v>
      </c>
    </row>
    <row r="157" customFormat="false" ht="13.8" hidden="false" customHeight="false" outlineLevel="0" collapsed="false">
      <c r="A157" s="8" t="n">
        <v>38705</v>
      </c>
      <c r="B157" s="0" t="n">
        <v>105.99</v>
      </c>
      <c r="C157" s="9" t="n">
        <f aca="false">(B157-B156)/B156</f>
        <v>0.0018905378580205</v>
      </c>
      <c r="D157" s="0" t="n">
        <v>10.27</v>
      </c>
      <c r="E157" s="9" t="n">
        <f aca="false">(D157-D156)/D156</f>
        <v>-0.0383895131086142</v>
      </c>
      <c r="F157" s="0" t="n">
        <v>126.76</v>
      </c>
      <c r="G157" s="9" t="n">
        <f aca="false">(F157-F156)/F156</f>
        <v>0.00316555872111432</v>
      </c>
      <c r="H157" s="0" t="n">
        <f aca="false">AVERAGE(F143:F156)</f>
        <v>122.99</v>
      </c>
      <c r="I157" s="0" t="n">
        <f aca="false">AVERAGE(F150:F156)</f>
        <v>125.381428571429</v>
      </c>
      <c r="J157" s="0" t="n">
        <f aca="false">AVERAGE(F154:F156)</f>
        <v>126.513333333333</v>
      </c>
      <c r="K157" s="10" t="n">
        <v>60.32</v>
      </c>
      <c r="L157" s="9" t="n">
        <f aca="false">(K157-K156)/K156</f>
        <v>0.00818987130202243</v>
      </c>
      <c r="M157" s="10" t="n">
        <v>58.75</v>
      </c>
      <c r="N157" s="9" t="n">
        <f aca="false">(M157-M156)/M156</f>
        <v>0.0477973961120029</v>
      </c>
      <c r="O157" s="0" t="n">
        <v>2.28</v>
      </c>
      <c r="P157" s="9" t="n">
        <f aca="false">(O157-O156)/O156</f>
        <v>-0.017241379310345</v>
      </c>
      <c r="Q157" s="10" t="n">
        <v>2.1</v>
      </c>
      <c r="R157" s="9" t="n">
        <f aca="false">(Q157-Q156)/Q156</f>
        <v>0.00961538461538462</v>
      </c>
      <c r="S157" s="10" t="n">
        <v>4.45</v>
      </c>
      <c r="T157" s="9" t="n">
        <f aca="false">(S157-S156)/S156</f>
        <v>-0.00890868596881961</v>
      </c>
      <c r="U157" s="13" t="n">
        <v>0.56</v>
      </c>
      <c r="V157" s="9" t="n">
        <f aca="false">(U157-U156)/U156</f>
        <v>-0.151515151515152</v>
      </c>
      <c r="W157" s="0" t="n">
        <v>1.1865</v>
      </c>
      <c r="X157" s="23" t="n">
        <f aca="false">(W157-W156)/W156</f>
        <v>-0.01190872751499</v>
      </c>
      <c r="Y157" s="0" t="n">
        <v>1.5579</v>
      </c>
      <c r="Z157" s="24" t="n">
        <f aca="false">(Y157-Y156)/Y156</f>
        <v>0.00581057524694953</v>
      </c>
    </row>
    <row r="158" customFormat="false" ht="13.8" hidden="false" customHeight="false" outlineLevel="0" collapsed="false">
      <c r="A158" s="8" t="n">
        <v>38713</v>
      </c>
      <c r="B158" s="0" t="n">
        <v>103.84</v>
      </c>
      <c r="C158" s="9" t="n">
        <f aca="false">(B158-B157)/B157</f>
        <v>-0.0202849325408057</v>
      </c>
      <c r="D158" s="0" t="n">
        <v>12.07</v>
      </c>
      <c r="E158" s="9" t="n">
        <f aca="false">(D158-D157)/D157</f>
        <v>0.175267770204479</v>
      </c>
      <c r="F158" s="0" t="n">
        <v>124.51</v>
      </c>
      <c r="G158" s="9" t="n">
        <f aca="false">(F158-F157)/F157</f>
        <v>-0.0177500788892395</v>
      </c>
      <c r="H158" s="0" t="n">
        <f aca="false">AVERAGE(F144:F157)</f>
        <v>123.222857142857</v>
      </c>
      <c r="I158" s="0" t="n">
        <f aca="false">AVERAGE(F151:F157)</f>
        <v>126.045714285714</v>
      </c>
      <c r="J158" s="0" t="n">
        <f aca="false">AVERAGE(F155:F157)</f>
        <v>126.483333333333</v>
      </c>
      <c r="K158" s="10" t="n">
        <v>57.97</v>
      </c>
      <c r="L158" s="9" t="n">
        <f aca="false">(K158-K157)/K157</f>
        <v>-0.0389588859416446</v>
      </c>
      <c r="M158" s="10" t="n">
        <v>56.36</v>
      </c>
      <c r="N158" s="9" t="n">
        <f aca="false">(M158-M157)/M157</f>
        <v>-0.0406808510638298</v>
      </c>
      <c r="O158" s="0" t="n">
        <v>2.26</v>
      </c>
      <c r="P158" s="9" t="n">
        <f aca="false">(O158-O157)/O157</f>
        <v>-0.00877192982456122</v>
      </c>
      <c r="Q158" s="10" t="n">
        <v>2.07</v>
      </c>
      <c r="R158" s="9" t="n">
        <f aca="false">(Q158-Q157)/Q157</f>
        <v>-0.0142857142857144</v>
      </c>
      <c r="S158" s="10" t="n">
        <v>4.37</v>
      </c>
      <c r="T158" s="9" t="n">
        <f aca="false">(S158-S157)/S157</f>
        <v>-0.0179775280898877</v>
      </c>
      <c r="U158" s="13" t="n">
        <v>0.45</v>
      </c>
      <c r="V158" s="9" t="n">
        <f aca="false">(U158-U157)/U157</f>
        <v>-0.196428571428571</v>
      </c>
      <c r="W158" s="0" t="n">
        <v>1.1832</v>
      </c>
      <c r="X158" s="23" t="n">
        <f aca="false">(W158-W157)/W157</f>
        <v>-0.00278128950695329</v>
      </c>
      <c r="Y158" s="0" t="n">
        <v>1.5555</v>
      </c>
      <c r="Z158" s="24" t="n">
        <f aca="false">(Y158-Y157)/Y157</f>
        <v>-0.00154053533602924</v>
      </c>
    </row>
    <row r="159" customFormat="false" ht="13.8" hidden="false" customHeight="false" outlineLevel="0" collapsed="false">
      <c r="A159" s="8" t="n">
        <v>38720</v>
      </c>
      <c r="B159" s="0" t="n">
        <v>105.93</v>
      </c>
      <c r="C159" s="9" t="n">
        <f aca="false">(B159-B158)/B158</f>
        <v>0.0201271186440678</v>
      </c>
      <c r="D159" s="0" t="n">
        <v>11</v>
      </c>
      <c r="E159" s="9" t="n">
        <f aca="false">(D159-D158)/D158</f>
        <v>-0.0886495443247722</v>
      </c>
      <c r="F159" s="0" t="n">
        <v>128.44</v>
      </c>
      <c r="G159" s="9" t="n">
        <f aca="false">(F159-F158)/F158</f>
        <v>0.0315637298208979</v>
      </c>
      <c r="H159" s="0" t="n">
        <f aca="false">AVERAGE(F145:F158)</f>
        <v>123.442142857143</v>
      </c>
      <c r="I159" s="0" t="n">
        <f aca="false">AVERAGE(F152:F158)</f>
        <v>126.152857142857</v>
      </c>
      <c r="J159" s="0" t="n">
        <f aca="false">AVERAGE(F156:F158)</f>
        <v>125.876666666667</v>
      </c>
      <c r="K159" s="10" t="n">
        <v>59.82</v>
      </c>
      <c r="L159" s="9" t="n">
        <f aca="false">(K159-K158)/K158</f>
        <v>0.0319130584785234</v>
      </c>
      <c r="M159" s="10" t="n">
        <v>57.38</v>
      </c>
      <c r="N159" s="9" t="n">
        <f aca="false">(M159-M158)/M158</f>
        <v>0.018097941802697</v>
      </c>
      <c r="O159" s="0" t="n">
        <v>2.31</v>
      </c>
      <c r="P159" s="9" t="n">
        <f aca="false">(O159-O158)/O158</f>
        <v>0.0221238938053095</v>
      </c>
      <c r="Q159" s="10" t="n">
        <v>1.99</v>
      </c>
      <c r="R159" s="9" t="n">
        <f aca="false">(Q159-Q158)/Q158</f>
        <v>-0.038647342995169</v>
      </c>
      <c r="S159" s="10" t="n">
        <v>4.37</v>
      </c>
      <c r="T159" s="9" t="n">
        <f aca="false">(S159-S158)/S158</f>
        <v>0</v>
      </c>
      <c r="U159" s="13" t="n">
        <v>0.27</v>
      </c>
      <c r="V159" s="9" t="n">
        <f aca="false">(U159-U158)/U158</f>
        <v>-0.399999999999999</v>
      </c>
      <c r="W159" s="0" t="n">
        <v>1.2159</v>
      </c>
      <c r="X159" s="23" t="n">
        <f aca="false">(W159-W158)/W158</f>
        <v>0.0276369168356998</v>
      </c>
      <c r="Y159" s="0" t="n">
        <v>1.5433</v>
      </c>
      <c r="Z159" s="24" t="n">
        <f aca="false">(Y159-Y158)/Y158</f>
        <v>-0.0078431372549021</v>
      </c>
    </row>
    <row r="160" customFormat="false" ht="13.8" hidden="false" customHeight="false" outlineLevel="0" collapsed="false">
      <c r="A160" s="8" t="n">
        <v>38726</v>
      </c>
      <c r="B160" s="0" t="n">
        <v>105.48</v>
      </c>
      <c r="C160" s="9" t="n">
        <f aca="false">(B160-B159)/B159</f>
        <v>-0.00424808836023792</v>
      </c>
      <c r="D160" s="0" t="n">
        <v>11.23</v>
      </c>
      <c r="E160" s="9" t="n">
        <f aca="false">(D160-D159)/D159</f>
        <v>0.0209090909090909</v>
      </c>
      <c r="F160" s="0" t="n">
        <v>128.68</v>
      </c>
      <c r="G160" s="9" t="n">
        <f aca="false">(F160-F159)/F159</f>
        <v>0.00186857676736226</v>
      </c>
      <c r="H160" s="0" t="n">
        <f aca="false">AVERAGE(F146:F159)</f>
        <v>123.827857142857</v>
      </c>
      <c r="I160" s="0" t="n">
        <f aca="false">AVERAGE(F153:F159)</f>
        <v>126.625714285714</v>
      </c>
      <c r="J160" s="0" t="n">
        <f aca="false">AVERAGE(F157:F159)</f>
        <v>126.57</v>
      </c>
      <c r="K160" s="10" t="n">
        <v>63.39</v>
      </c>
      <c r="L160" s="9" t="n">
        <f aca="false">(K160-K159)/K159</f>
        <v>0.059679037111334</v>
      </c>
      <c r="M160" s="10" t="n">
        <v>61.72</v>
      </c>
      <c r="N160" s="9" t="n">
        <f aca="false">(M160-M159)/M159</f>
        <v>0.0756361101429069</v>
      </c>
      <c r="O160" s="0" t="n">
        <v>2.38</v>
      </c>
      <c r="P160" s="9" t="n">
        <f aca="false">(O160-O159)/O159</f>
        <v>0.0303030303030304</v>
      </c>
      <c r="Q160" s="10" t="n">
        <v>1.96</v>
      </c>
      <c r="R160" s="9" t="n">
        <f aca="false">(Q160-Q159)/Q159</f>
        <v>-0.0150753768844221</v>
      </c>
      <c r="S160" s="10" t="n">
        <v>4.41</v>
      </c>
      <c r="T160" s="9" t="n">
        <f aca="false">(S160-S159)/S159</f>
        <v>0.00915331807780321</v>
      </c>
      <c r="U160" s="13" t="n">
        <v>0.21</v>
      </c>
      <c r="V160" s="9" t="n">
        <f aca="false">(U160-U159)/U159</f>
        <v>-0.222222222222224</v>
      </c>
      <c r="W160" s="0" t="n">
        <v>1.2139</v>
      </c>
      <c r="X160" s="23" t="n">
        <f aca="false">(W160-W159)/W159</f>
        <v>-0.00164487211119336</v>
      </c>
      <c r="Y160" s="0" t="n">
        <v>1.5492</v>
      </c>
      <c r="Z160" s="24" t="n">
        <f aca="false">(Y160-Y159)/Y159</f>
        <v>0.0038229767381585</v>
      </c>
    </row>
    <row r="161" customFormat="false" ht="13.8" hidden="false" customHeight="false" outlineLevel="0" collapsed="false">
      <c r="A161" s="8" t="n">
        <v>38734</v>
      </c>
      <c r="B161" s="0" t="n">
        <v>101.44</v>
      </c>
      <c r="C161" s="9" t="n">
        <f aca="false">(B161-B160)/B160</f>
        <v>-0.0383010997345469</v>
      </c>
      <c r="D161" s="0" t="n">
        <v>14.56</v>
      </c>
      <c r="E161" s="9" t="n">
        <f aca="false">(D161-D160)/D160</f>
        <v>0.296527159394479</v>
      </c>
      <c r="F161" s="0" t="n">
        <v>125.97</v>
      </c>
      <c r="G161" s="9" t="n">
        <f aca="false">(F161-F160)/F160</f>
        <v>-0.0210599937830277</v>
      </c>
      <c r="H161" s="0" t="n">
        <f aca="false">AVERAGE(F147:F160)</f>
        <v>124.475714285714</v>
      </c>
      <c r="I161" s="0" t="n">
        <f aca="false">AVERAGE(F154:F160)</f>
        <v>126.847142857143</v>
      </c>
      <c r="J161" s="0" t="n">
        <f aca="false">AVERAGE(F158:F160)</f>
        <v>127.21</v>
      </c>
      <c r="K161" s="10" t="n">
        <v>63.74</v>
      </c>
      <c r="L161" s="9" t="n">
        <f aca="false">(K161-K160)/K160</f>
        <v>0.00552137561129518</v>
      </c>
      <c r="M161" s="10" t="n">
        <v>62.18</v>
      </c>
      <c r="N161" s="9" t="n">
        <f aca="false">(M161-M160)/M160</f>
        <v>0.00745301360985095</v>
      </c>
      <c r="O161" s="0" t="n">
        <v>2.42</v>
      </c>
      <c r="P161" s="9" t="n">
        <f aca="false">(O161-O160)/O160</f>
        <v>0.0168067226890756</v>
      </c>
      <c r="Q161" s="10" t="n">
        <v>1.87</v>
      </c>
      <c r="R161" s="9" t="n">
        <f aca="false">(Q161-Q160)/Q160</f>
        <v>-0.0459183673469387</v>
      </c>
      <c r="S161" s="10" t="n">
        <v>4.36</v>
      </c>
      <c r="T161" s="9" t="n">
        <f aca="false">(S161-S160)/S160</f>
        <v>-0.0113378684807256</v>
      </c>
      <c r="U161" s="13" t="n">
        <v>0.100000000000001</v>
      </c>
      <c r="V161" s="9" t="n">
        <f aca="false">(U161-U160)/U160</f>
        <v>-0.523809523809521</v>
      </c>
      <c r="W161" s="0" t="n">
        <v>1.2138</v>
      </c>
      <c r="X161" s="23" t="n">
        <f aca="false">(W161-W160)/W160</f>
        <v>-8.23791086580352E-005</v>
      </c>
      <c r="Y161" s="0" t="n">
        <v>1.55</v>
      </c>
      <c r="Z161" s="24" t="n">
        <f aca="false">(Y161-Y160)/Y160</f>
        <v>0.000516395558998279</v>
      </c>
    </row>
    <row r="162" customFormat="false" ht="13.8" hidden="false" customHeight="false" outlineLevel="0" collapsed="false">
      <c r="A162" s="8" t="n">
        <v>38740</v>
      </c>
      <c r="B162" s="0" t="n">
        <v>104.16</v>
      </c>
      <c r="C162" s="9" t="n">
        <f aca="false">(B162-B161)/B161</f>
        <v>0.026813880126183</v>
      </c>
      <c r="D162" s="0" t="n">
        <v>11.97</v>
      </c>
      <c r="E162" s="9" t="n">
        <f aca="false">(D162-D161)/D161</f>
        <v>-0.177884615384615</v>
      </c>
      <c r="F162" s="0" t="n">
        <v>128.54</v>
      </c>
      <c r="G162" s="9" t="n">
        <f aca="false">(F162-F161)/F161</f>
        <v>0.0204016829403826</v>
      </c>
      <c r="H162" s="0" t="n">
        <f aca="false">AVERAGE(F148:F161)</f>
        <v>124.997142857143</v>
      </c>
      <c r="I162" s="0" t="n">
        <f aca="false">AVERAGE(F155:F161)</f>
        <v>126.721428571429</v>
      </c>
      <c r="J162" s="0" t="n">
        <f aca="false">AVERAGE(F159:F161)</f>
        <v>127.696666666667</v>
      </c>
      <c r="K162" s="10" t="n">
        <v>66.79</v>
      </c>
      <c r="L162" s="9" t="n">
        <f aca="false">(K162-K161)/K161</f>
        <v>0.0478506432381551</v>
      </c>
      <c r="M162" s="10" t="n">
        <v>63.54</v>
      </c>
      <c r="N162" s="9" t="n">
        <f aca="false">(M162-M161)/M161</f>
        <v>0.0218719845609521</v>
      </c>
      <c r="O162" s="0" t="n">
        <v>2.46</v>
      </c>
      <c r="P162" s="9" t="n">
        <f aca="false">(O162-O161)/O161</f>
        <v>0.0165289256198347</v>
      </c>
      <c r="Q162" s="10" t="n">
        <v>1.92</v>
      </c>
      <c r="R162" s="9" t="n">
        <f aca="false">(Q162-Q161)/Q161</f>
        <v>0.0267379679144384</v>
      </c>
      <c r="S162" s="10" t="n">
        <v>4.46</v>
      </c>
      <c r="T162" s="9" t="n">
        <f aca="false">(S162-S161)/S161</f>
        <v>0.0229357798165137</v>
      </c>
      <c r="U162" s="13" t="n">
        <v>0.14</v>
      </c>
      <c r="V162" s="9" t="n">
        <f aca="false">(U162-U161)/U161</f>
        <v>0.399999999999989</v>
      </c>
      <c r="W162" s="0" t="n">
        <v>1.2102</v>
      </c>
      <c r="X162" s="23" t="n">
        <f aca="false">(W162-W161)/W161</f>
        <v>-0.00296589223924868</v>
      </c>
      <c r="Y162" s="0" t="n">
        <v>1.553</v>
      </c>
      <c r="Z162" s="24" t="n">
        <f aca="false">(Y162-Y161)/Y161</f>
        <v>0.00193548387096767</v>
      </c>
    </row>
    <row r="163" customFormat="false" ht="13.8" hidden="false" customHeight="false" outlineLevel="0" collapsed="false">
      <c r="A163" s="8" t="n">
        <v>38747</v>
      </c>
      <c r="B163" s="0" t="n">
        <v>101.8</v>
      </c>
      <c r="C163" s="9" t="n">
        <f aca="false">(B163-B162)/B162</f>
        <v>-0.0226574500768049</v>
      </c>
      <c r="D163" s="0" t="n">
        <v>12.96</v>
      </c>
      <c r="E163" s="9" t="n">
        <f aca="false">(D163-D162)/D162</f>
        <v>0.0827067669172932</v>
      </c>
      <c r="F163" s="0" t="n">
        <v>126.27</v>
      </c>
      <c r="G163" s="9" t="n">
        <f aca="false">(F163-F162)/F162</f>
        <v>-0.0176598724132565</v>
      </c>
      <c r="H163" s="0" t="n">
        <f aca="false">AVERAGE(F149:F162)</f>
        <v>125.740714285714</v>
      </c>
      <c r="I163" s="0" t="n">
        <f aca="false">AVERAGE(F156:F162)</f>
        <v>127.037142857143</v>
      </c>
      <c r="J163" s="0" t="n">
        <f aca="false">AVERAGE(F160:F162)</f>
        <v>127.73</v>
      </c>
      <c r="K163" s="10" t="n">
        <v>66.82</v>
      </c>
      <c r="L163" s="9" t="n">
        <f aca="false">(K163-K162)/K162</f>
        <v>0.000449169037280834</v>
      </c>
      <c r="M163" s="10" t="n">
        <v>63.77</v>
      </c>
      <c r="N163" s="9" t="n">
        <f aca="false">(M163-M162)/M162</f>
        <v>0.00361976707585779</v>
      </c>
      <c r="O163" s="0" t="n">
        <v>2.56</v>
      </c>
      <c r="P163" s="9" t="n">
        <f aca="false">(O163-O162)/O162</f>
        <v>0.0406504065040653</v>
      </c>
      <c r="Q163" s="10" t="n">
        <v>1.93</v>
      </c>
      <c r="R163" s="9" t="n">
        <f aca="false">(Q163-Q162)/Q162</f>
        <v>0.00520833333333345</v>
      </c>
      <c r="S163" s="10" t="n">
        <v>4.55</v>
      </c>
      <c r="T163" s="9" t="n">
        <f aca="false">(S163-S162)/S162</f>
        <v>0.0201793721973094</v>
      </c>
      <c r="U163" s="13" t="n">
        <v>0.18</v>
      </c>
      <c r="V163" s="9" t="n">
        <f aca="false">(U163-U162)/U162</f>
        <v>0.285714285714287</v>
      </c>
      <c r="W163" s="0" t="n">
        <v>1.2026</v>
      </c>
      <c r="X163" s="23" t="n">
        <f aca="false">(W163-W162)/W162</f>
        <v>-0.00627995372665679</v>
      </c>
      <c r="Y163" s="0" t="n">
        <v>1.5566</v>
      </c>
      <c r="Z163" s="24" t="n">
        <f aca="false">(Y163-Y162)/Y162</f>
        <v>0.0023180940115905</v>
      </c>
    </row>
    <row r="164" customFormat="false" ht="13.8" hidden="false" customHeight="false" outlineLevel="0" collapsed="false">
      <c r="A164" s="8" t="n">
        <v>38754</v>
      </c>
      <c r="B164" s="0" t="n">
        <v>103.18</v>
      </c>
      <c r="C164" s="9" t="n">
        <f aca="false">(B164-B163)/B163</f>
        <v>0.0135559921414539</v>
      </c>
      <c r="D164" s="0" t="n">
        <v>12.87</v>
      </c>
      <c r="E164" s="9" t="n">
        <f aca="false">(D164-D163)/D163</f>
        <v>-0.00694444444444457</v>
      </c>
      <c r="F164" s="0" t="n">
        <v>126.64</v>
      </c>
      <c r="G164" s="9" t="n">
        <f aca="false">(F164-F163)/F163</f>
        <v>0.00293022887463376</v>
      </c>
      <c r="H164" s="0" t="n">
        <f aca="false">AVERAGE(F150:F163)</f>
        <v>126.202857142857</v>
      </c>
      <c r="I164" s="0" t="n">
        <f aca="false">AVERAGE(F157:F163)</f>
        <v>127.024285714286</v>
      </c>
      <c r="J164" s="0" t="n">
        <f aca="false">AVERAGE(F161:F163)</f>
        <v>126.926666666667</v>
      </c>
      <c r="K164" s="10" t="n">
        <v>66.59</v>
      </c>
      <c r="L164" s="9" t="n">
        <f aca="false">(K164-K163)/K163</f>
        <v>-0.00344208320862002</v>
      </c>
      <c r="M164" s="10" t="n">
        <v>64</v>
      </c>
      <c r="N164" s="9" t="n">
        <f aca="false">(M164-M163)/M163</f>
        <v>0.00360671161988391</v>
      </c>
      <c r="O164" s="0" t="n">
        <v>2.56</v>
      </c>
      <c r="P164" s="9" t="n">
        <f aca="false">(O164-O163)/O163</f>
        <v>0</v>
      </c>
      <c r="Q164" s="10" t="n">
        <v>1.98</v>
      </c>
      <c r="R164" s="9" t="n">
        <f aca="false">(Q164-Q163)/Q163</f>
        <v>0.0259067357512952</v>
      </c>
      <c r="S164" s="10" t="n">
        <v>4.56</v>
      </c>
      <c r="T164" s="9" t="n">
        <f aca="false">(S164-S163)/S163</f>
        <v>0.00219780219780215</v>
      </c>
      <c r="U164" s="13" t="n">
        <v>0.159999999999999</v>
      </c>
      <c r="V164" s="9" t="n">
        <f aca="false">(U164-U163)/U163</f>
        <v>-0.111111111111114</v>
      </c>
      <c r="W164" s="0" t="n">
        <v>1.1905</v>
      </c>
      <c r="X164" s="23" t="n">
        <f aca="false">(W164-W163)/W163</f>
        <v>-0.0100615333444204</v>
      </c>
      <c r="Y164" s="0" t="n">
        <v>1.556</v>
      </c>
      <c r="Z164" s="24" t="n">
        <f aca="false">(Y164-Y163)/Y163</f>
        <v>-0.00038545547989203</v>
      </c>
    </row>
    <row r="165" customFormat="false" ht="13.8" hidden="false" customHeight="false" outlineLevel="0" collapsed="false">
      <c r="A165" s="8" t="n">
        <v>38761</v>
      </c>
      <c r="B165" s="0" t="n">
        <v>105.45</v>
      </c>
      <c r="C165" s="9" t="n">
        <f aca="false">(B165-B164)/B164</f>
        <v>0.0220003876720294</v>
      </c>
      <c r="D165" s="0" t="n">
        <v>12.01</v>
      </c>
      <c r="E165" s="9" t="n">
        <f aca="false">(D165-D164)/D164</f>
        <v>-0.0668220668220668</v>
      </c>
      <c r="F165" s="0" t="n">
        <v>128.81</v>
      </c>
      <c r="G165" s="9" t="n">
        <f aca="false">(F165-F164)/F164</f>
        <v>0.0171351863550221</v>
      </c>
      <c r="H165" s="0" t="n">
        <f aca="false">AVERAGE(F151:F164)</f>
        <v>126.526428571429</v>
      </c>
      <c r="I165" s="0" t="n">
        <f aca="false">AVERAGE(F158:F164)</f>
        <v>127.007142857143</v>
      </c>
      <c r="J165" s="0" t="n">
        <f aca="false">AVERAGE(F162:F164)</f>
        <v>127.15</v>
      </c>
      <c r="K165" s="10" t="n">
        <v>63.06</v>
      </c>
      <c r="L165" s="9" t="n">
        <f aca="false">(K165-K164)/K164</f>
        <v>-0.0530109626069981</v>
      </c>
      <c r="M165" s="10" t="n">
        <v>61.23</v>
      </c>
      <c r="N165" s="9" t="n">
        <f aca="false">(M165-M164)/M164</f>
        <v>-0.04328125</v>
      </c>
      <c r="O165" s="0" t="n">
        <v>2.55</v>
      </c>
      <c r="P165" s="9" t="n">
        <f aca="false">(O165-O164)/O164</f>
        <v>-0.00390625000000009</v>
      </c>
      <c r="Q165" s="10" t="n">
        <v>2.04</v>
      </c>
      <c r="R165" s="9" t="n">
        <f aca="false">(Q165-Q164)/Q164</f>
        <v>0.0303030303030303</v>
      </c>
      <c r="S165" s="10" t="n">
        <v>4.59</v>
      </c>
      <c r="T165" s="9" t="n">
        <f aca="false">(S165-S164)/S164</f>
        <v>0.00657894736842111</v>
      </c>
      <c r="U165" s="13" t="n">
        <v>0.15</v>
      </c>
      <c r="V165" s="9" t="n">
        <f aca="false">(U165-U164)/U164</f>
        <v>-0.0624999999999988</v>
      </c>
      <c r="W165" s="0" t="n">
        <v>1.1914</v>
      </c>
      <c r="X165" s="23" t="n">
        <f aca="false">(W165-W164)/W164</f>
        <v>0.000755984880302497</v>
      </c>
      <c r="Y165" s="0" t="n">
        <v>1.5631</v>
      </c>
      <c r="Z165" s="24" t="n">
        <f aca="false">(Y165-Y164)/Y164</f>
        <v>0.00456298200514131</v>
      </c>
    </row>
    <row r="166" customFormat="false" ht="13.8" hidden="false" customHeight="false" outlineLevel="0" collapsed="false">
      <c r="A166" s="8" t="n">
        <v>38769</v>
      </c>
      <c r="B166" s="0" t="n">
        <v>107.34</v>
      </c>
      <c r="C166" s="9" t="n">
        <f aca="false">(B166-B165)/B165</f>
        <v>0.017923186344239</v>
      </c>
      <c r="D166" s="0" t="n">
        <v>11.46</v>
      </c>
      <c r="E166" s="9" t="n">
        <f aca="false">(D166-D165)/D165</f>
        <v>-0.0457951706910907</v>
      </c>
      <c r="F166" s="0" t="n">
        <v>129.41</v>
      </c>
      <c r="G166" s="9" t="n">
        <f aca="false">(F166-F165)/F165</f>
        <v>0.00465802344538463</v>
      </c>
      <c r="H166" s="0" t="n">
        <f aca="false">AVERAGE(F152:F165)</f>
        <v>126.887142857143</v>
      </c>
      <c r="I166" s="0" t="n">
        <f aca="false">AVERAGE(F159:F165)</f>
        <v>127.621428571429</v>
      </c>
      <c r="J166" s="0" t="n">
        <f aca="false">AVERAGE(F163:F165)</f>
        <v>127.24</v>
      </c>
      <c r="K166" s="10" t="n">
        <v>59.37</v>
      </c>
      <c r="L166" s="9" t="n">
        <f aca="false">(K166-K165)/K165</f>
        <v>-0.0585156993339677</v>
      </c>
      <c r="M166" s="10" t="n">
        <v>58.04</v>
      </c>
      <c r="N166" s="9" t="n">
        <f aca="false">(M166-M165)/M165</f>
        <v>-0.0520986444553323</v>
      </c>
      <c r="O166" s="0" t="n">
        <v>2.66</v>
      </c>
      <c r="P166" s="9" t="n">
        <f aca="false">(O166-O165)/O165</f>
        <v>0.0431372549019609</v>
      </c>
      <c r="Q166" s="10" t="n">
        <v>1.95</v>
      </c>
      <c r="R166" s="9" t="n">
        <f aca="false">(Q166-Q165)/Q165</f>
        <v>-0.0441176470588235</v>
      </c>
      <c r="S166" s="10" t="n">
        <v>4.56</v>
      </c>
      <c r="T166" s="9" t="n">
        <f aca="false">(S166-S165)/S165</f>
        <v>-0.00653594771241836</v>
      </c>
      <c r="U166" s="13" t="n">
        <v>0.0899999999999999</v>
      </c>
      <c r="V166" s="9" t="n">
        <f aca="false">(U166-U165)/U165</f>
        <v>-0.399999999999999</v>
      </c>
      <c r="W166" s="0" t="n">
        <v>1.1873</v>
      </c>
      <c r="X166" s="23" t="n">
        <f aca="false">(W166-W165)/W165</f>
        <v>-0.00344132952828604</v>
      </c>
      <c r="Y166" s="0" t="n">
        <v>1.5636</v>
      </c>
      <c r="Z166" s="24" t="n">
        <f aca="false">(Y166-Y165)/Y165</f>
        <v>0.000319877167167914</v>
      </c>
    </row>
    <row r="167" customFormat="false" ht="13.8" hidden="false" customHeight="false" outlineLevel="0" collapsed="false">
      <c r="A167" s="8" t="n">
        <v>38775</v>
      </c>
      <c r="B167" s="0" t="n">
        <v>105.65</v>
      </c>
      <c r="C167" s="9" t="n">
        <f aca="false">(B167-B166)/B166</f>
        <v>-0.0157443637041177</v>
      </c>
      <c r="D167" s="0" t="n">
        <v>11.96</v>
      </c>
      <c r="E167" s="9" t="n">
        <f aca="false">(D167-D166)/D166</f>
        <v>0.043630017452007</v>
      </c>
      <c r="F167" s="0" t="n">
        <v>128.76</v>
      </c>
      <c r="G167" s="9" t="n">
        <f aca="false">(F167-F166)/F166</f>
        <v>-0.00502279576539685</v>
      </c>
      <c r="H167" s="0" t="n">
        <f aca="false">AVERAGE(F153:F166)</f>
        <v>127.192857142857</v>
      </c>
      <c r="I167" s="0" t="n">
        <f aca="false">AVERAGE(F160:F166)</f>
        <v>127.76</v>
      </c>
      <c r="J167" s="0" t="n">
        <f aca="false">AVERAGE(F164:F166)</f>
        <v>128.286666666667</v>
      </c>
      <c r="K167" s="10" t="n">
        <v>59.93</v>
      </c>
      <c r="L167" s="9" t="n">
        <f aca="false">(K167-K166)/K166</f>
        <v>0.00943237325248446</v>
      </c>
      <c r="M167" s="10" t="n">
        <v>59.39</v>
      </c>
      <c r="N167" s="9" t="n">
        <f aca="false">(M167-M166)/M166</f>
        <v>0.0232598208132323</v>
      </c>
      <c r="O167" s="0" t="n">
        <v>2.72</v>
      </c>
      <c r="P167" s="9" t="n">
        <f aca="false">(O167-O166)/O166</f>
        <v>0.0225563909774435</v>
      </c>
      <c r="Q167" s="10" t="n">
        <v>1.94</v>
      </c>
      <c r="R167" s="9" t="n">
        <f aca="false">(Q167-Q166)/Q166</f>
        <v>-0.00512820512820525</v>
      </c>
      <c r="S167" s="10" t="n">
        <v>4.61</v>
      </c>
      <c r="T167" s="9" t="n">
        <f aca="false">(S167-S166)/S166</f>
        <v>0.0109649122807019</v>
      </c>
      <c r="U167" s="13" t="n">
        <v>0.11</v>
      </c>
      <c r="V167" s="9" t="n">
        <f aca="false">(U167-U166)/U166</f>
        <v>0.222222222222228</v>
      </c>
      <c r="W167" s="0" t="n">
        <v>1.2033</v>
      </c>
      <c r="X167" s="23" t="n">
        <f aca="false">(W167-W166)/W166</f>
        <v>0.0134759538448581</v>
      </c>
      <c r="Y167" s="0" t="n">
        <v>1.5621</v>
      </c>
      <c r="Z167" s="24" t="n">
        <f aca="false">(Y167-Y166)/Y166</f>
        <v>-0.000959324635456675</v>
      </c>
    </row>
    <row r="168" customFormat="false" ht="13.8" hidden="false" customHeight="false" outlineLevel="0" collapsed="false">
      <c r="A168" s="8" t="n">
        <v>38782</v>
      </c>
      <c r="B168" s="0" t="n">
        <v>106.11</v>
      </c>
      <c r="C168" s="9" t="n">
        <f aca="false">(B168-B167)/B167</f>
        <v>0.00435399905347841</v>
      </c>
      <c r="D168" s="0" t="n">
        <v>11.85</v>
      </c>
      <c r="E168" s="9" t="n">
        <f aca="false">(D168-D167)/D167</f>
        <v>-0.00919732441471582</v>
      </c>
      <c r="F168" s="0" t="n">
        <v>128.59</v>
      </c>
      <c r="G168" s="9" t="n">
        <f aca="false">(F168-F167)/F167</f>
        <v>-0.00132028580304433</v>
      </c>
      <c r="H168" s="0" t="n">
        <f aca="false">AVERAGE(F154:F167)</f>
        <v>127.309285714286</v>
      </c>
      <c r="I168" s="0" t="n">
        <f aca="false">AVERAGE(F161:F167)</f>
        <v>127.771428571429</v>
      </c>
      <c r="J168" s="0" t="n">
        <f aca="false">AVERAGE(F165:F167)</f>
        <v>128.993333333333</v>
      </c>
      <c r="K168" s="10" t="n">
        <v>62.27</v>
      </c>
      <c r="L168" s="9" t="n">
        <f aca="false">(K168-K167)/K167</f>
        <v>0.0390455531453363</v>
      </c>
      <c r="M168" s="10" t="n">
        <v>61.06</v>
      </c>
      <c r="N168" s="9" t="n">
        <f aca="false">(M168-M167)/M167</f>
        <v>0.0281192119885503</v>
      </c>
      <c r="O168" s="0" t="n">
        <v>2.68</v>
      </c>
      <c r="P168" s="9" t="n">
        <f aca="false">(O168-O167)/O167</f>
        <v>-0.0147058823529412</v>
      </c>
      <c r="Q168" s="10" t="n">
        <v>2.08</v>
      </c>
      <c r="R168" s="9" t="n">
        <f aca="false">(Q168-Q167)/Q167</f>
        <v>0.0721649484536083</v>
      </c>
      <c r="S168" s="10" t="n">
        <v>4.74</v>
      </c>
      <c r="T168" s="9" t="n">
        <f aca="false">(S168-S167)/S167</f>
        <v>0.0281995661605206</v>
      </c>
      <c r="U168" s="13" t="n">
        <v>0.25</v>
      </c>
      <c r="V168" s="9" t="n">
        <f aca="false">(U168-U167)/U167</f>
        <v>1.27272727272727</v>
      </c>
      <c r="W168" s="0" t="n">
        <v>1.1915</v>
      </c>
      <c r="X168" s="23" t="n">
        <f aca="false">(W168-W167)/W167</f>
        <v>-0.00980636582730826</v>
      </c>
      <c r="Y168" s="0" t="n">
        <v>1.5685</v>
      </c>
      <c r="Z168" s="24" t="n">
        <f aca="false">(Y168-Y167)/Y167</f>
        <v>0.00409704884450417</v>
      </c>
    </row>
    <row r="169" customFormat="false" ht="13.8" hidden="false" customHeight="false" outlineLevel="0" collapsed="false">
      <c r="A169" s="8" t="n">
        <v>38789</v>
      </c>
      <c r="B169" s="0" t="n">
        <v>108.23</v>
      </c>
      <c r="C169" s="9" t="n">
        <f aca="false">(B169-B168)/B168</f>
        <v>0.0199792667986053</v>
      </c>
      <c r="D169" s="0" t="n">
        <v>12.12</v>
      </c>
      <c r="E169" s="9" t="n">
        <f aca="false">(D169-D168)/D168</f>
        <v>0.0227848101265822</v>
      </c>
      <c r="F169" s="0" t="n">
        <v>130.62</v>
      </c>
      <c r="G169" s="9" t="n">
        <f aca="false">(F169-F168)/F168</f>
        <v>0.0157866086009799</v>
      </c>
      <c r="H169" s="0" t="n">
        <f aca="false">AVERAGE(F155:F168)</f>
        <v>127.433571428571</v>
      </c>
      <c r="I169" s="0" t="n">
        <f aca="false">AVERAGE(F162:F168)</f>
        <v>128.145714285714</v>
      </c>
      <c r="J169" s="0" t="n">
        <f aca="false">AVERAGE(F166:F168)</f>
        <v>128.92</v>
      </c>
      <c r="K169" s="10" t="n">
        <v>60.89</v>
      </c>
      <c r="L169" s="9" t="n">
        <f aca="false">(K169-K168)/K168</f>
        <v>-0.022161554520636</v>
      </c>
      <c r="M169" s="10" t="n">
        <v>59.5</v>
      </c>
      <c r="N169" s="9" t="n">
        <f aca="false">(M169-M168)/M168</f>
        <v>-0.0255486406812971</v>
      </c>
      <c r="O169" s="0" t="n">
        <v>2.61</v>
      </c>
      <c r="P169" s="9" t="n">
        <f aca="false">(O169-O168)/O168</f>
        <v>-0.0261194029850746</v>
      </c>
      <c r="Q169" s="10" t="n">
        <v>2.06</v>
      </c>
      <c r="R169" s="9" t="n">
        <f aca="false">(Q169-Q168)/Q168</f>
        <v>-0.00961538461538462</v>
      </c>
      <c r="S169" s="10" t="n">
        <v>4.71</v>
      </c>
      <c r="T169" s="9" t="n">
        <f aca="false">(S169-S168)/S168</f>
        <v>-0.00632911392405068</v>
      </c>
      <c r="U169" s="13" t="n">
        <v>0.21</v>
      </c>
      <c r="V169" s="9" t="n">
        <f aca="false">(U169-U168)/U168</f>
        <v>-0.16</v>
      </c>
      <c r="W169" s="0" t="n">
        <v>1.2193</v>
      </c>
      <c r="X169" s="23" t="n">
        <f aca="false">(W169-W168)/W168</f>
        <v>0.0233319345362988</v>
      </c>
      <c r="Y169" s="0" t="n">
        <v>1.572</v>
      </c>
      <c r="Z169" s="24" t="n">
        <f aca="false">(Y169-Y168)/Y168</f>
        <v>0.00223143130379347</v>
      </c>
    </row>
    <row r="170" customFormat="false" ht="13.8" hidden="false" customHeight="false" outlineLevel="0" collapsed="false">
      <c r="A170" s="8" t="n">
        <v>38796</v>
      </c>
      <c r="B170" s="0" t="n">
        <v>107.87</v>
      </c>
      <c r="C170" s="9" t="n">
        <f aca="false">(B170-B169)/B169</f>
        <v>-0.00332624965351566</v>
      </c>
      <c r="D170" s="0" t="n">
        <v>11.19</v>
      </c>
      <c r="E170" s="9" t="n">
        <f aca="false">(D170-D169)/D169</f>
        <v>-0.0767326732673267</v>
      </c>
      <c r="F170" s="0" t="n">
        <v>130.21</v>
      </c>
      <c r="G170" s="9" t="n">
        <f aca="false">(F170-F169)/F169</f>
        <v>-0.0031388761292298</v>
      </c>
      <c r="H170" s="0" t="n">
        <f aca="false">AVERAGE(F156:F169)</f>
        <v>127.74</v>
      </c>
      <c r="I170" s="0" t="n">
        <f aca="false">AVERAGE(F163:F169)</f>
        <v>128.442857142857</v>
      </c>
      <c r="J170" s="0" t="n">
        <f aca="false">AVERAGE(F167:F169)</f>
        <v>129.323333333333</v>
      </c>
      <c r="K170" s="10" t="n">
        <v>62.64</v>
      </c>
      <c r="L170" s="9" t="n">
        <f aca="false">(K170-K169)/K169</f>
        <v>0.0287403514534406</v>
      </c>
      <c r="M170" s="10" t="n">
        <v>62.42</v>
      </c>
      <c r="N170" s="9" t="n">
        <f aca="false">(M170-M169)/M169</f>
        <v>0.0490756302521009</v>
      </c>
      <c r="O170" s="0" t="n">
        <v>2.57</v>
      </c>
      <c r="P170" s="9" t="n">
        <f aca="false">(O170-O169)/O169</f>
        <v>-0.0153256704980841</v>
      </c>
      <c r="Q170" s="10" t="n">
        <v>2.1</v>
      </c>
      <c r="R170" s="9" t="n">
        <f aca="false">(Q170-Q169)/Q169</f>
        <v>0.0194174757281554</v>
      </c>
      <c r="S170" s="10" t="n">
        <v>4.69</v>
      </c>
      <c r="T170" s="9" t="n">
        <f aca="false">(S170-S169)/S169</f>
        <v>-0.00424628450106148</v>
      </c>
      <c r="U170" s="13" t="n">
        <v>0.130000000000001</v>
      </c>
      <c r="V170" s="9" t="n">
        <f aca="false">(U170-U169)/U169</f>
        <v>-0.380952380952377</v>
      </c>
      <c r="W170" s="0" t="n">
        <v>1.2034</v>
      </c>
      <c r="X170" s="23" t="n">
        <f aca="false">(W170-W169)/W169</f>
        <v>-0.0130402690068072</v>
      </c>
      <c r="Y170" s="0" t="n">
        <v>1.5768</v>
      </c>
      <c r="Z170" s="24" t="n">
        <f aca="false">(Y170-Y169)/Y169</f>
        <v>0.00305343511450376</v>
      </c>
    </row>
    <row r="171" customFormat="false" ht="13.8" hidden="false" customHeight="false" outlineLevel="0" collapsed="false">
      <c r="A171" s="8" t="n">
        <v>38803</v>
      </c>
      <c r="B171" s="0" t="n">
        <v>106.23</v>
      </c>
      <c r="C171" s="9" t="n">
        <f aca="false">(B171-B170)/B170</f>
        <v>-0.015203485677204</v>
      </c>
      <c r="D171" s="0" t="n">
        <v>11.39</v>
      </c>
      <c r="E171" s="9" t="n">
        <f aca="false">(D171-D170)/D170</f>
        <v>0.0178731009830207</v>
      </c>
      <c r="F171" s="0" t="n">
        <v>129.83</v>
      </c>
      <c r="G171" s="9" t="n">
        <f aca="false">(F171-F170)/F170</f>
        <v>-0.00291836264495811</v>
      </c>
      <c r="H171" s="0" t="n">
        <f aca="false">AVERAGE(F157:F170)</f>
        <v>128.015</v>
      </c>
      <c r="I171" s="0" t="n">
        <f aca="false">AVERAGE(F164:F170)</f>
        <v>129.005714285714</v>
      </c>
      <c r="J171" s="0" t="n">
        <f aca="false">AVERAGE(F168:F170)</f>
        <v>129.806666666667</v>
      </c>
      <c r="K171" s="10" t="n">
        <v>61.36</v>
      </c>
      <c r="L171" s="9" t="n">
        <f aca="false">(K171-K170)/K170</f>
        <v>-0.0204342273307791</v>
      </c>
      <c r="M171" s="10" t="n">
        <v>61.61</v>
      </c>
      <c r="N171" s="9" t="n">
        <f aca="false">(M171-M170)/M170</f>
        <v>-0.012976610060878</v>
      </c>
      <c r="O171" s="0" t="n">
        <v>2.56</v>
      </c>
      <c r="P171" s="9" t="n">
        <f aca="false">(O171-O170)/O170</f>
        <v>-0.00389105058365768</v>
      </c>
      <c r="Q171" s="10" t="n">
        <v>2.22</v>
      </c>
      <c r="R171" s="9" t="n">
        <f aca="false">(Q171-Q170)/Q170</f>
        <v>0.0571428571428572</v>
      </c>
      <c r="S171" s="10" t="n">
        <v>4.8</v>
      </c>
      <c r="T171" s="9" t="n">
        <f aca="false">(S171-S170)/S170</f>
        <v>0.0234541577825159</v>
      </c>
      <c r="U171" s="13" t="n">
        <v>0.29</v>
      </c>
      <c r="V171" s="9" t="n">
        <f aca="false">(U171-U170)/U170</f>
        <v>1.23076923076922</v>
      </c>
      <c r="W171" s="0" t="n">
        <v>1.2114</v>
      </c>
      <c r="X171" s="23" t="n">
        <f aca="false">(W171-W170)/W170</f>
        <v>0.00664783114508892</v>
      </c>
      <c r="Y171" s="0" t="n">
        <v>1.5798</v>
      </c>
      <c r="Z171" s="24" t="n">
        <f aca="false">(Y171-Y170)/Y170</f>
        <v>0.00190258751902595</v>
      </c>
    </row>
    <row r="172" customFormat="false" ht="13.8" hidden="false" customHeight="false" outlineLevel="0" collapsed="false">
      <c r="A172" s="8" t="n">
        <v>38810</v>
      </c>
      <c r="B172" s="0" t="n">
        <v>106.8</v>
      </c>
      <c r="C172" s="9" t="n">
        <f aca="false">(B172-B171)/B171</f>
        <v>0.00536571589946336</v>
      </c>
      <c r="D172" s="0" t="n">
        <v>12.26</v>
      </c>
      <c r="E172" s="9" t="n">
        <f aca="false">(D172-D171)/D171</f>
        <v>0.0763827919227392</v>
      </c>
      <c r="F172" s="0" t="n">
        <v>129.54</v>
      </c>
      <c r="G172" s="9" t="n">
        <f aca="false">(F172-F171)/F171</f>
        <v>-0.00223369021027513</v>
      </c>
      <c r="H172" s="0" t="n">
        <f aca="false">AVERAGE(F158:F171)</f>
        <v>128.234285714286</v>
      </c>
      <c r="I172" s="0" t="n">
        <f aca="false">AVERAGE(F165:F171)</f>
        <v>129.461428571429</v>
      </c>
      <c r="J172" s="0" t="n">
        <f aca="false">AVERAGE(F169:F171)</f>
        <v>130.22</v>
      </c>
      <c r="K172" s="10" t="n">
        <v>65.67</v>
      </c>
      <c r="L172" s="9" t="n">
        <f aca="false">(K172-K171)/K171</f>
        <v>0.0702411994784877</v>
      </c>
      <c r="M172" s="10" t="n">
        <v>64.76</v>
      </c>
      <c r="N172" s="9" t="n">
        <f aca="false">(M172-M171)/M171</f>
        <v>0.0511280636260348</v>
      </c>
      <c r="O172" s="0" t="n">
        <v>2.58</v>
      </c>
      <c r="P172" s="9" t="n">
        <f aca="false">(O172-O171)/O171</f>
        <v>0.00781250000000001</v>
      </c>
      <c r="Q172" s="10" t="n">
        <v>2.26</v>
      </c>
      <c r="R172" s="9" t="n">
        <f aca="false">(Q172-Q171)/Q171</f>
        <v>0.0180180180180178</v>
      </c>
      <c r="S172" s="10" t="n">
        <v>4.89</v>
      </c>
      <c r="T172" s="9" t="n">
        <f aca="false">(S172-S171)/S171</f>
        <v>0.01875</v>
      </c>
      <c r="U172" s="13" t="n">
        <v>0.33</v>
      </c>
      <c r="V172" s="9" t="n">
        <f aca="false">(U172-U171)/U171</f>
        <v>0.137931034482759</v>
      </c>
      <c r="W172" s="0" t="n">
        <v>1.2105</v>
      </c>
      <c r="X172" s="23" t="n">
        <f aca="false">(W172-W171)/W171</f>
        <v>-0.000742942050520161</v>
      </c>
      <c r="Y172" s="0" t="n">
        <v>1.5742</v>
      </c>
      <c r="Z172" s="24" t="n">
        <f aca="false">(Y172-Y171)/Y171</f>
        <v>-0.00354475250031653</v>
      </c>
    </row>
    <row r="173" customFormat="false" ht="13.8" hidden="false" customHeight="false" outlineLevel="0" collapsed="false">
      <c r="A173" s="8" t="n">
        <v>38817</v>
      </c>
      <c r="B173" s="0" t="n">
        <v>106.76</v>
      </c>
      <c r="C173" s="9" t="n">
        <f aca="false">(B173-B172)/B172</f>
        <v>-0.000374531835205918</v>
      </c>
      <c r="D173" s="0" t="n">
        <v>12.38</v>
      </c>
      <c r="E173" s="9" t="n">
        <f aca="false">(D173-D172)/D172</f>
        <v>0.00978792822185979</v>
      </c>
      <c r="F173" s="0" t="n">
        <v>128.71</v>
      </c>
      <c r="G173" s="9" t="n">
        <f aca="false">(F173-F172)/F172</f>
        <v>-0.00640728732437845</v>
      </c>
      <c r="H173" s="0" t="n">
        <f aca="false">AVERAGE(F159:F172)</f>
        <v>128.593571428571</v>
      </c>
      <c r="I173" s="0" t="n">
        <f aca="false">AVERAGE(F166:F172)</f>
        <v>129.565714285714</v>
      </c>
      <c r="J173" s="0" t="n">
        <f aca="false">AVERAGE(F170:F172)</f>
        <v>129.86</v>
      </c>
      <c r="K173" s="10" t="n">
        <v>66.56</v>
      </c>
      <c r="L173" s="9" t="n">
        <f aca="false">(K173-K172)/K172</f>
        <v>0.0135526115425613</v>
      </c>
      <c r="M173" s="10" t="n">
        <v>66.93</v>
      </c>
      <c r="N173" s="9" t="n">
        <f aca="false">(M173-M172)/M172</f>
        <v>0.0335083384805436</v>
      </c>
      <c r="O173" s="0" t="n">
        <v>2.64</v>
      </c>
      <c r="P173" s="9" t="n">
        <f aca="false">(O173-O172)/O172</f>
        <v>0.0232558139534884</v>
      </c>
      <c r="Q173" s="10" t="n">
        <v>2.27</v>
      </c>
      <c r="R173" s="9" t="n">
        <f aca="false">(Q173-Q172)/Q172</f>
        <v>0.00442477876106205</v>
      </c>
      <c r="S173" s="10" t="n">
        <v>4.98</v>
      </c>
      <c r="T173" s="9" t="n">
        <f aca="false">(S173-S172)/S172</f>
        <v>0.0184049079754603</v>
      </c>
      <c r="U173" s="13" t="n">
        <v>0.4</v>
      </c>
      <c r="V173" s="9" t="n">
        <f aca="false">(U173-U172)/U172</f>
        <v>0.212121212121213</v>
      </c>
      <c r="W173" s="0" t="n">
        <v>1.2106</v>
      </c>
      <c r="X173" s="23" t="n">
        <f aca="false">(W173-W172)/W172</f>
        <v>8.26104915324155E-005</v>
      </c>
      <c r="Y173" s="0" t="n">
        <v>1.5722</v>
      </c>
      <c r="Z173" s="24" t="n">
        <f aca="false">(Y173-Y172)/Y172</f>
        <v>-0.00127048659636641</v>
      </c>
    </row>
    <row r="174" customFormat="false" ht="13.8" hidden="false" customHeight="false" outlineLevel="0" collapsed="false">
      <c r="A174" s="8" t="n">
        <v>38824</v>
      </c>
      <c r="B174" s="0" t="n">
        <v>108.51</v>
      </c>
      <c r="C174" s="9" t="n">
        <f aca="false">(B174-B173)/B173</f>
        <v>0.0163919070813039</v>
      </c>
      <c r="D174" s="0" t="n">
        <v>11.59</v>
      </c>
      <c r="E174" s="9" t="n">
        <f aca="false">(D174-D173)/D173</f>
        <v>-0.0638126009693054</v>
      </c>
      <c r="F174" s="0" t="n">
        <v>131.15</v>
      </c>
      <c r="G174" s="9" t="n">
        <f aca="false">(F174-F173)/F173</f>
        <v>0.018957345971564</v>
      </c>
      <c r="H174" s="0" t="n">
        <f aca="false">AVERAGE(F160:F173)</f>
        <v>128.612857142857</v>
      </c>
      <c r="I174" s="0" t="n">
        <f aca="false">AVERAGE(F167:F173)</f>
        <v>129.465714285714</v>
      </c>
      <c r="J174" s="0" t="n">
        <f aca="false">AVERAGE(F171:F173)</f>
        <v>129.36</v>
      </c>
      <c r="K174" s="10" t="n">
        <v>68.85</v>
      </c>
      <c r="L174" s="9" t="n">
        <f aca="false">(K174-K173)/K173</f>
        <v>0.034405048076923</v>
      </c>
      <c r="M174" s="10" t="n">
        <v>68.91</v>
      </c>
      <c r="N174" s="9" t="n">
        <f aca="false">(M174-M173)/M173</f>
        <v>0.0295831465710442</v>
      </c>
      <c r="O174" s="0" t="n">
        <v>2.71</v>
      </c>
      <c r="P174" s="9" t="n">
        <f aca="false">(O174-O173)/O173</f>
        <v>0.0265151515151515</v>
      </c>
      <c r="Q174" s="10" t="n">
        <v>2.2</v>
      </c>
      <c r="R174" s="9" t="n">
        <f aca="false">(Q174-Q173)/Q173</f>
        <v>-0.0308370044052863</v>
      </c>
      <c r="S174" s="10" t="n">
        <v>5.02</v>
      </c>
      <c r="T174" s="9" t="n">
        <f aca="false">(S174-S173)/S173</f>
        <v>0.00803212851405605</v>
      </c>
      <c r="U174" s="13" t="n">
        <v>0.409999999999999</v>
      </c>
      <c r="V174" s="9" t="n">
        <f aca="false">(U174-U173)/U173</f>
        <v>0.0249999999999972</v>
      </c>
      <c r="W174" s="0" t="n">
        <v>1.2346</v>
      </c>
      <c r="X174" s="23" t="n">
        <f aca="false">(W174-W173)/W173</f>
        <v>0.019824880224682</v>
      </c>
      <c r="Y174" s="0" t="n">
        <v>1.5747</v>
      </c>
      <c r="Z174" s="24" t="n">
        <f aca="false">(Y174-Y173)/Y173</f>
        <v>0.00159012848238134</v>
      </c>
    </row>
    <row r="175" customFormat="false" ht="13.8" hidden="false" customHeight="false" outlineLevel="0" collapsed="false">
      <c r="A175" s="8" t="n">
        <v>38831</v>
      </c>
      <c r="B175" s="0" t="n">
        <v>112.8</v>
      </c>
      <c r="C175" s="9" t="n">
        <f aca="false">(B175-B174)/B174</f>
        <v>0.0395355266795686</v>
      </c>
      <c r="D175" s="0" t="n">
        <v>11.59</v>
      </c>
      <c r="E175" s="9" t="n">
        <f aca="false">(D175-D174)/D174</f>
        <v>0</v>
      </c>
      <c r="F175" s="0" t="n">
        <v>131.47</v>
      </c>
      <c r="G175" s="9" t="n">
        <f aca="false">(F175-F174)/F174</f>
        <v>0.00243995425085774</v>
      </c>
      <c r="H175" s="0" t="n">
        <f aca="false">AVERAGE(F161:F174)</f>
        <v>128.789285714286</v>
      </c>
      <c r="I175" s="0" t="n">
        <f aca="false">AVERAGE(F168:F174)</f>
        <v>129.807142857143</v>
      </c>
      <c r="J175" s="0" t="n">
        <f aca="false">AVERAGE(F172:F174)</f>
        <v>129.8</v>
      </c>
      <c r="K175" s="10" t="n">
        <v>71.87</v>
      </c>
      <c r="L175" s="9" t="n">
        <f aca="false">(K175-K174)/K174</f>
        <v>0.0438634713144519</v>
      </c>
      <c r="M175" s="10" t="n">
        <v>72.54</v>
      </c>
      <c r="N175" s="9" t="n">
        <f aca="false">(M175-M174)/M174</f>
        <v>0.0526774053112757</v>
      </c>
      <c r="O175" s="0" t="n">
        <v>2.64</v>
      </c>
      <c r="P175" s="9" t="n">
        <f aca="false">(O175-O174)/O174</f>
        <v>-0.025830258302583</v>
      </c>
      <c r="Q175" s="10" t="n">
        <v>2.31</v>
      </c>
      <c r="R175" s="9" t="n">
        <f aca="false">(Q175-Q174)/Q174</f>
        <v>0.05</v>
      </c>
      <c r="S175" s="10" t="n">
        <v>5.07</v>
      </c>
      <c r="T175" s="9" t="n">
        <f aca="false">(S175-S174)/S174</f>
        <v>0.00996015936254994</v>
      </c>
      <c r="U175" s="13" t="n">
        <v>0.41</v>
      </c>
      <c r="V175" s="9" t="n">
        <f aca="false">(U175-U174)/U174</f>
        <v>0</v>
      </c>
      <c r="W175" s="0" t="n">
        <v>1.2614</v>
      </c>
      <c r="X175" s="23" t="n">
        <f aca="false">(W175-W174)/W174</f>
        <v>0.0217074356066744</v>
      </c>
      <c r="Y175" s="0" t="n">
        <v>1.5655</v>
      </c>
      <c r="Z175" s="24" t="n">
        <f aca="false">(Y175-Y174)/Y174</f>
        <v>-0.00584238267606534</v>
      </c>
    </row>
    <row r="176" customFormat="false" ht="13.8" hidden="false" customHeight="false" outlineLevel="0" collapsed="false">
      <c r="A176" s="8" t="n">
        <v>38838</v>
      </c>
      <c r="B176" s="0" t="n">
        <v>113.29</v>
      </c>
      <c r="C176" s="9" t="n">
        <f aca="false">(B176-B175)/B175</f>
        <v>0.00434397163120575</v>
      </c>
      <c r="D176" s="0" t="n">
        <v>11.62</v>
      </c>
      <c r="E176" s="9" t="n">
        <f aca="false">(D176-D175)/D175</f>
        <v>0.00258843830888692</v>
      </c>
      <c r="F176" s="0" t="n">
        <v>132.52</v>
      </c>
      <c r="G176" s="9" t="n">
        <f aca="false">(F176-F175)/F175</f>
        <v>0.00798661291549412</v>
      </c>
      <c r="H176" s="0" t="n">
        <f aca="false">AVERAGE(F162:F175)</f>
        <v>129.182142857143</v>
      </c>
      <c r="I176" s="0" t="n">
        <f aca="false">AVERAGE(F169:F175)</f>
        <v>130.218571428571</v>
      </c>
      <c r="J176" s="0" t="n">
        <f aca="false">AVERAGE(F173:F175)</f>
        <v>130.443333333333</v>
      </c>
      <c r="K176" s="10" t="n">
        <v>70.38</v>
      </c>
      <c r="L176" s="9" t="n">
        <f aca="false">(K176-K175)/K175</f>
        <v>-0.0207318770001393</v>
      </c>
      <c r="M176" s="10" t="n">
        <v>72.84</v>
      </c>
      <c r="N176" s="9" t="n">
        <f aca="false">(M176-M175)/M175</f>
        <v>0.00413564929693958</v>
      </c>
      <c r="O176" s="0" t="n">
        <v>2.71</v>
      </c>
      <c r="P176" s="9" t="n">
        <f aca="false">(O176-O175)/O175</f>
        <v>0.0265151515151515</v>
      </c>
      <c r="Q176" s="10" t="n">
        <v>2.29</v>
      </c>
      <c r="R176" s="9" t="n">
        <f aca="false">(Q176-Q175)/Q175</f>
        <v>-0.00865800865800867</v>
      </c>
      <c r="S176" s="10" t="n">
        <v>5.14</v>
      </c>
      <c r="T176" s="9" t="n">
        <f aca="false">(S176-S175)/S175</f>
        <v>0.0138067061143983</v>
      </c>
      <c r="U176" s="13" t="n">
        <v>0.449999999999999</v>
      </c>
      <c r="V176" s="9" t="n">
        <f aca="false">(U176-U175)/U175</f>
        <v>0.0975609756097538</v>
      </c>
      <c r="W176" s="0" t="n">
        <v>1.2736</v>
      </c>
      <c r="X176" s="23" t="n">
        <f aca="false">(W176-W175)/W175</f>
        <v>0.00967179324560012</v>
      </c>
      <c r="Y176" s="0" t="n">
        <v>1.5605</v>
      </c>
      <c r="Z176" s="24" t="n">
        <f aca="false">(Y176-Y175)/Y175</f>
        <v>-0.00319386777387409</v>
      </c>
    </row>
    <row r="177" customFormat="false" ht="13.8" hidden="false" customHeight="false" outlineLevel="0" collapsed="false">
      <c r="A177" s="8" t="n">
        <v>38845</v>
      </c>
      <c r="B177" s="0" t="n">
        <v>110.53</v>
      </c>
      <c r="C177" s="9" t="n">
        <f aca="false">(B177-B176)/B176</f>
        <v>-0.0243622561567659</v>
      </c>
      <c r="D177" s="0" t="n">
        <v>14.19</v>
      </c>
      <c r="E177" s="9" t="n">
        <f aca="false">(D177-D176)/D176</f>
        <v>0.221170395869191</v>
      </c>
      <c r="F177" s="0" t="n">
        <v>129.24</v>
      </c>
      <c r="G177" s="9" t="n">
        <f aca="false">(F177-F176)/F176</f>
        <v>-0.0247509809840024</v>
      </c>
      <c r="H177" s="0" t="n">
        <f aca="false">AVERAGE(F163:F176)</f>
        <v>129.466428571429</v>
      </c>
      <c r="I177" s="0" t="n">
        <f aca="false">AVERAGE(F170:F176)</f>
        <v>130.49</v>
      </c>
      <c r="J177" s="0" t="n">
        <f aca="false">AVERAGE(F174:F176)</f>
        <v>131.713333333333</v>
      </c>
      <c r="K177" s="10" t="n">
        <v>72.14</v>
      </c>
      <c r="L177" s="9" t="n">
        <f aca="false">(K177-K176)/K176</f>
        <v>0.0250071042909918</v>
      </c>
      <c r="M177" s="10" t="n">
        <v>72.92</v>
      </c>
      <c r="N177" s="9" t="n">
        <f aca="false">(M177-M176)/M176</f>
        <v>0.00109829763866005</v>
      </c>
      <c r="O177" s="0" t="n">
        <v>2.74</v>
      </c>
      <c r="P177" s="9" t="n">
        <f aca="false">(O177-O176)/O176</f>
        <v>0.0110701107011071</v>
      </c>
      <c r="Q177" s="10" t="n">
        <v>2.29</v>
      </c>
      <c r="R177" s="9" t="n">
        <f aca="false">(Q177-Q176)/Q176</f>
        <v>0</v>
      </c>
      <c r="S177" s="10" t="n">
        <v>5.14</v>
      </c>
      <c r="T177" s="9" t="n">
        <f aca="false">(S177-S176)/S176</f>
        <v>0</v>
      </c>
      <c r="U177" s="13" t="n">
        <v>0.4</v>
      </c>
      <c r="V177" s="9" t="n">
        <f aca="false">(U177-U176)/U176</f>
        <v>-0.111111111111111</v>
      </c>
      <c r="W177" s="0" t="n">
        <v>1.2908</v>
      </c>
      <c r="X177" s="23" t="n">
        <f aca="false">(W177-W176)/W176</f>
        <v>0.013505025125628</v>
      </c>
      <c r="Y177" s="0" t="n">
        <v>1.5477</v>
      </c>
      <c r="Z177" s="24" t="n">
        <f aca="false">(Y177-Y176)/Y176</f>
        <v>-0.00820249919897464</v>
      </c>
    </row>
    <row r="178" customFormat="false" ht="13.8" hidden="false" customHeight="false" outlineLevel="0" collapsed="false">
      <c r="A178" s="8" t="n">
        <v>38852</v>
      </c>
      <c r="B178" s="0" t="n">
        <v>108.77</v>
      </c>
      <c r="C178" s="9" t="n">
        <f aca="false">(B178-B177)/B177</f>
        <v>-0.0159232787478513</v>
      </c>
      <c r="D178" s="0" t="n">
        <v>17.18</v>
      </c>
      <c r="E178" s="9" t="n">
        <f aca="false">(D178-D177)/D177</f>
        <v>0.210711768851304</v>
      </c>
      <c r="F178" s="0" t="n">
        <v>127.1</v>
      </c>
      <c r="G178" s="9" t="n">
        <f aca="false">(F178-F177)/F177</f>
        <v>-0.016558341070876</v>
      </c>
      <c r="H178" s="0" t="n">
        <f aca="false">AVERAGE(F164:F177)</f>
        <v>129.678571428571</v>
      </c>
      <c r="I178" s="0" t="n">
        <f aca="false">AVERAGE(F171:F177)</f>
        <v>130.351428571429</v>
      </c>
      <c r="J178" s="0" t="n">
        <f aca="false">AVERAGE(F175:F177)</f>
        <v>131.076666666667</v>
      </c>
      <c r="K178" s="10" t="n">
        <v>71.5</v>
      </c>
      <c r="L178" s="9" t="n">
        <f aca="false">(K178-K177)/K177</f>
        <v>-0.00887163848073192</v>
      </c>
      <c r="M178" s="10" t="n">
        <v>70.44</v>
      </c>
      <c r="N178" s="9" t="n">
        <f aca="false">(M178-M177)/M177</f>
        <v>-0.0340098738343391</v>
      </c>
      <c r="O178" s="0" t="n">
        <v>2.69</v>
      </c>
      <c r="P178" s="9" t="n">
        <f aca="false">(O178-O177)/O177</f>
        <v>-0.0182481751824818</v>
      </c>
      <c r="Q178" s="10" t="n">
        <v>2.31</v>
      </c>
      <c r="R178" s="9" t="n">
        <f aca="false">(Q178-Q177)/Q177</f>
        <v>0.00873362445414848</v>
      </c>
      <c r="S178" s="10" t="n">
        <v>5.11</v>
      </c>
      <c r="T178" s="9" t="n">
        <f aca="false">(S178-S177)/S177</f>
        <v>-0.00583657587548626</v>
      </c>
      <c r="U178" s="13" t="n">
        <v>0.4</v>
      </c>
      <c r="V178" s="9" t="n">
        <f aca="false">(U178-U177)/U177</f>
        <v>0</v>
      </c>
      <c r="W178" s="0" t="n">
        <v>1.2775</v>
      </c>
      <c r="X178" s="23" t="n">
        <f aca="false">(W178-W177)/W177</f>
        <v>-0.0103036876355747</v>
      </c>
      <c r="Y178" s="0" t="n">
        <v>1.5533</v>
      </c>
      <c r="Z178" s="24" t="n">
        <f aca="false">(Y178-Y177)/Y177</f>
        <v>0.00361827227498858</v>
      </c>
    </row>
    <row r="179" customFormat="false" ht="13.8" hidden="false" customHeight="false" outlineLevel="0" collapsed="false">
      <c r="A179" s="8" t="n">
        <v>38859</v>
      </c>
      <c r="B179" s="0" t="n">
        <v>109.67</v>
      </c>
      <c r="C179" s="9" t="n">
        <f aca="false">(B179-B178)/B178</f>
        <v>0.00827434035119983</v>
      </c>
      <c r="D179" s="0" t="n">
        <v>14.26</v>
      </c>
      <c r="E179" s="9" t="n">
        <f aca="false">(D179-D178)/D178</f>
        <v>-0.169965075669383</v>
      </c>
      <c r="F179" s="0" t="n">
        <v>128.38</v>
      </c>
      <c r="G179" s="9" t="n">
        <f aca="false">(F179-F178)/F178</f>
        <v>0.0100708103855232</v>
      </c>
      <c r="H179" s="0" t="n">
        <f aca="false">AVERAGE(F165:F178)</f>
        <v>129.711428571429</v>
      </c>
      <c r="I179" s="0" t="n">
        <f aca="false">AVERAGE(F172:F178)</f>
        <v>129.961428571429</v>
      </c>
      <c r="J179" s="0" t="n">
        <f aca="false">AVERAGE(F176:F178)</f>
        <v>129.62</v>
      </c>
      <c r="K179" s="10" t="n">
        <v>69.07</v>
      </c>
      <c r="L179" s="9" t="n">
        <f aca="false">(K179-K178)/K178</f>
        <v>-0.0339860139860141</v>
      </c>
      <c r="M179" s="10" t="n">
        <v>67.84</v>
      </c>
      <c r="N179" s="9" t="n">
        <f aca="false">(M179-M178)/M178</f>
        <v>-0.0369108461101646</v>
      </c>
      <c r="O179" s="0" t="n">
        <v>2.64</v>
      </c>
      <c r="P179" s="9" t="n">
        <f aca="false">(O179-O178)/O178</f>
        <v>-0.0185873605947955</v>
      </c>
      <c r="Q179" s="10" t="n">
        <v>2.31</v>
      </c>
      <c r="R179" s="9" t="n">
        <f aca="false">(Q179-Q178)/Q178</f>
        <v>0</v>
      </c>
      <c r="S179" s="10" t="n">
        <v>5.05</v>
      </c>
      <c r="T179" s="9" t="n">
        <f aca="false">(S179-S178)/S178</f>
        <v>-0.0117416829745598</v>
      </c>
      <c r="U179" s="13" t="n">
        <v>0.34</v>
      </c>
      <c r="V179" s="9" t="n">
        <f aca="false">(U179-U178)/U178</f>
        <v>-0.150000000000001</v>
      </c>
      <c r="W179" s="0" t="n">
        <v>1.2733</v>
      </c>
      <c r="X179" s="23" t="n">
        <f aca="false">(W179-W178)/W178</f>
        <v>-0.0032876712328767</v>
      </c>
      <c r="Y179" s="0" t="n">
        <v>1.5615</v>
      </c>
      <c r="Z179" s="24" t="n">
        <f aca="false">(Y179-Y178)/Y178</f>
        <v>0.00527908324212979</v>
      </c>
    </row>
    <row r="180" customFormat="false" ht="13.8" hidden="false" customHeight="false" outlineLevel="0" collapsed="false">
      <c r="A180" s="8" t="n">
        <v>38867</v>
      </c>
      <c r="B180" s="0" t="n">
        <v>110.72</v>
      </c>
      <c r="C180" s="9" t="n">
        <f aca="false">(B180-B179)/B179</f>
        <v>0.00957417707668457</v>
      </c>
      <c r="D180" s="0" t="n">
        <v>14.32</v>
      </c>
      <c r="E180" s="9" t="n">
        <f aca="false">(D180-D179)/D179</f>
        <v>0.0042075736325386</v>
      </c>
      <c r="F180" s="0" t="n">
        <v>129</v>
      </c>
      <c r="G180" s="9" t="n">
        <f aca="false">(F180-F179)/F179</f>
        <v>0.00482941268110301</v>
      </c>
      <c r="H180" s="0" t="n">
        <f aca="false">AVERAGE(F166:F179)</f>
        <v>129.680714285714</v>
      </c>
      <c r="I180" s="0" t="n">
        <f aca="false">AVERAGE(F173:F179)</f>
        <v>129.795714285714</v>
      </c>
      <c r="J180" s="0" t="n">
        <f aca="false">AVERAGE(F177:F179)</f>
        <v>128.24</v>
      </c>
      <c r="K180" s="10" t="n">
        <v>70.35</v>
      </c>
      <c r="L180" s="9" t="n">
        <f aca="false">(K180-K179)/K179</f>
        <v>0.0185319241349356</v>
      </c>
      <c r="M180" s="10" t="n">
        <v>68.47</v>
      </c>
      <c r="N180" s="9" t="n">
        <f aca="false">(M180-M179)/M179</f>
        <v>0.00928655660377352</v>
      </c>
      <c r="O180" s="0" t="n">
        <v>2.67</v>
      </c>
      <c r="P180" s="9" t="n">
        <f aca="false">(O180-O179)/O179</f>
        <v>0.0113636363636365</v>
      </c>
      <c r="Q180" s="10" t="n">
        <v>2.32</v>
      </c>
      <c r="R180" s="9" t="n">
        <f aca="false">(Q180-Q179)/Q179</f>
        <v>0.00432900432900424</v>
      </c>
      <c r="S180" s="10" t="n">
        <v>5.08</v>
      </c>
      <c r="T180" s="9" t="n">
        <f aca="false">(S180-S179)/S179</f>
        <v>0.00594059405940599</v>
      </c>
      <c r="U180" s="13" t="n">
        <v>0.36</v>
      </c>
      <c r="V180" s="9" t="n">
        <f aca="false">(U180-U179)/U179</f>
        <v>0.0588235294117661</v>
      </c>
      <c r="W180" s="0" t="n">
        <v>1.2919</v>
      </c>
      <c r="X180" s="23" t="n">
        <f aca="false">(W180-W179)/W179</f>
        <v>0.014607712243776</v>
      </c>
      <c r="Y180" s="0" t="n">
        <v>1.56</v>
      </c>
      <c r="Z180" s="24" t="n">
        <f aca="false">(Y180-Y179)/Y179</f>
        <v>-0.000960614793467856</v>
      </c>
    </row>
    <row r="181" customFormat="false" ht="13.8" hidden="false" customHeight="false" outlineLevel="0" collapsed="false">
      <c r="A181" s="8" t="n">
        <v>38873</v>
      </c>
      <c r="B181" s="0" t="n">
        <v>109.59</v>
      </c>
      <c r="C181" s="9" t="n">
        <f aca="false">(B181-B180)/B180</f>
        <v>-0.0102059248554913</v>
      </c>
      <c r="D181" s="0" t="n">
        <v>18.12</v>
      </c>
      <c r="E181" s="9" t="n">
        <f aca="false">(D181-D180)/D180</f>
        <v>0.26536312849162</v>
      </c>
      <c r="F181" s="0" t="n">
        <v>125.35</v>
      </c>
      <c r="G181" s="9" t="n">
        <f aca="false">(F181-F180)/F180</f>
        <v>-0.0282945736434109</v>
      </c>
      <c r="H181" s="0" t="n">
        <f aca="false">AVERAGE(F167:F180)</f>
        <v>129.651428571429</v>
      </c>
      <c r="I181" s="0" t="n">
        <f aca="false">AVERAGE(F174:F180)</f>
        <v>129.837142857143</v>
      </c>
      <c r="J181" s="0" t="n">
        <f aca="false">AVERAGE(F178:F180)</f>
        <v>128.16</v>
      </c>
      <c r="K181" s="10" t="n">
        <v>71.53</v>
      </c>
      <c r="L181" s="9" t="n">
        <f aca="false">(K181-K180)/K180</f>
        <v>0.0167732764747691</v>
      </c>
      <c r="M181" s="10" t="n">
        <v>68.75</v>
      </c>
      <c r="N181" s="9" t="n">
        <f aca="false">(M181-M180)/M180</f>
        <v>0.0040893822111874</v>
      </c>
      <c r="O181" s="0" t="n">
        <v>2.61</v>
      </c>
      <c r="P181" s="9" t="n">
        <f aca="false">(O181-O180)/O180</f>
        <v>-0.0224719101123596</v>
      </c>
      <c r="Q181" s="10" t="n">
        <v>2.34</v>
      </c>
      <c r="R181" s="9" t="n">
        <f aca="false">(Q181-Q180)/Q180</f>
        <v>0.00862068965517242</v>
      </c>
      <c r="S181" s="10" t="n">
        <v>5.01</v>
      </c>
      <c r="T181" s="9" t="n">
        <f aca="false">(S181-S180)/S180</f>
        <v>-0.0137795275590552</v>
      </c>
      <c r="U181" s="13" t="n">
        <v>0.27</v>
      </c>
      <c r="V181" s="9" t="n">
        <f aca="false">(U181-U180)/U180</f>
        <v>-0.250000000000002</v>
      </c>
      <c r="W181" s="0" t="n">
        <v>1.2646</v>
      </c>
      <c r="X181" s="23" t="n">
        <f aca="false">(W181-W180)/W180</f>
        <v>-0.0211316665376578</v>
      </c>
      <c r="Y181" s="0" t="n">
        <v>1.557</v>
      </c>
      <c r="Z181" s="24" t="n">
        <f aca="false">(Y181-Y180)/Y180</f>
        <v>-0.001923076923077</v>
      </c>
    </row>
    <row r="182" customFormat="false" ht="13.8" hidden="false" customHeight="false" outlineLevel="0" collapsed="false">
      <c r="A182" s="8" t="n">
        <v>38880</v>
      </c>
      <c r="B182" s="0" t="n">
        <v>106.82</v>
      </c>
      <c r="C182" s="9" t="n">
        <f aca="false">(B182-B181)/B181</f>
        <v>-0.0252760288347478</v>
      </c>
      <c r="D182" s="0" t="n">
        <v>17.25</v>
      </c>
      <c r="E182" s="9" t="n">
        <f aca="false">(D182-D181)/D181</f>
        <v>-0.0480132450331126</v>
      </c>
      <c r="F182" s="0" t="n">
        <v>124.65</v>
      </c>
      <c r="G182" s="9" t="n">
        <f aca="false">(F182-F181)/F181</f>
        <v>-0.00558436378141196</v>
      </c>
      <c r="H182" s="0" t="n">
        <f aca="false">AVERAGE(F168:F181)</f>
        <v>129.407857142857</v>
      </c>
      <c r="I182" s="0" t="n">
        <f aca="false">AVERAGE(F175:F181)</f>
        <v>129.008571428571</v>
      </c>
      <c r="J182" s="0" t="n">
        <f aca="false">AVERAGE(F179:F181)</f>
        <v>127.576666666667</v>
      </c>
      <c r="K182" s="10" t="n">
        <v>71.54</v>
      </c>
      <c r="L182" s="9" t="n">
        <f aca="false">(K182-K181)/K181</f>
        <v>0.00013980148189578</v>
      </c>
      <c r="M182" s="10" t="n">
        <v>67.89</v>
      </c>
      <c r="N182" s="9" t="n">
        <f aca="false">(M182-M181)/M181</f>
        <v>-0.0125090909090909</v>
      </c>
      <c r="O182" s="0" t="n">
        <v>2.61</v>
      </c>
      <c r="P182" s="9" t="n">
        <f aca="false">(O182-O181)/O181</f>
        <v>0</v>
      </c>
      <c r="Q182" s="10" t="n">
        <v>2.41</v>
      </c>
      <c r="R182" s="9" t="n">
        <f aca="false">(Q182-Q181)/Q181</f>
        <v>0.02991452991453</v>
      </c>
      <c r="S182" s="10" t="n">
        <v>5.05</v>
      </c>
      <c r="T182" s="9" t="n">
        <f aca="false">(S182-S181)/S181</f>
        <v>0.00798403193612775</v>
      </c>
      <c r="U182" s="13" t="n">
        <v>0.29</v>
      </c>
      <c r="V182" s="9" t="n">
        <f aca="false">(U182-U181)/U181</f>
        <v>0.0740740740740757</v>
      </c>
      <c r="W182" s="0" t="n">
        <v>1.2645</v>
      </c>
      <c r="X182" s="23" t="n">
        <f aca="false">(W182-W181)/W181</f>
        <v>-7.9076387790597E-005</v>
      </c>
      <c r="Y182" s="0" t="n">
        <v>1.5556</v>
      </c>
      <c r="Z182" s="24" t="n">
        <f aca="false">(Y182-Y181)/Y181</f>
        <v>-0.000899165061014673</v>
      </c>
    </row>
    <row r="183" customFormat="false" ht="13.8" hidden="false" customHeight="false" outlineLevel="0" collapsed="false">
      <c r="A183" s="8" t="n">
        <v>38887</v>
      </c>
      <c r="B183" s="0" t="n">
        <v>105.48</v>
      </c>
      <c r="C183" s="9" t="n">
        <f aca="false">(B183-B182)/B182</f>
        <v>-0.0125444673282156</v>
      </c>
      <c r="D183" s="0" t="n">
        <v>15.89</v>
      </c>
      <c r="E183" s="9" t="n">
        <f aca="false">(D183-D182)/D182</f>
        <v>-0.0788405797101449</v>
      </c>
      <c r="F183" s="0" t="n">
        <v>124.44</v>
      </c>
      <c r="G183" s="9" t="n">
        <f aca="false">(F183-F182)/F182</f>
        <v>-0.00168471720818298</v>
      </c>
      <c r="H183" s="0" t="n">
        <f aca="false">AVERAGE(F169:F182)</f>
        <v>129.126428571429</v>
      </c>
      <c r="I183" s="0" t="n">
        <f aca="false">AVERAGE(F176:F182)</f>
        <v>128.034285714286</v>
      </c>
      <c r="J183" s="0" t="n">
        <f aca="false">AVERAGE(F180:F182)</f>
        <v>126.333333333333</v>
      </c>
      <c r="K183" s="10" t="n">
        <v>69.48</v>
      </c>
      <c r="L183" s="9" t="n">
        <f aca="false">(K183-K182)/K182</f>
        <v>-0.0287950796757059</v>
      </c>
      <c r="M183" s="10" t="n">
        <v>66.17</v>
      </c>
      <c r="N183" s="9" t="n">
        <f aca="false">(M183-M182)/M182</f>
        <v>-0.0253351008985123</v>
      </c>
      <c r="O183" s="0" t="n">
        <v>2.62</v>
      </c>
      <c r="P183" s="9" t="n">
        <f aca="false">(O183-O182)/O182</f>
        <v>0.00383141762452133</v>
      </c>
      <c r="Q183" s="10" t="n">
        <v>2.54</v>
      </c>
      <c r="R183" s="9" t="n">
        <f aca="false">(Q183-Q182)/Q182</f>
        <v>0.0539419087136929</v>
      </c>
      <c r="S183" s="10" t="n">
        <v>5.18</v>
      </c>
      <c r="T183" s="9" t="n">
        <f aca="false">(S183-S182)/S182</f>
        <v>0.0257425742574257</v>
      </c>
      <c r="U183" s="13" t="n">
        <v>0.37</v>
      </c>
      <c r="V183" s="9" t="n">
        <f aca="false">(U183-U182)/U182</f>
        <v>0.275862068965517</v>
      </c>
      <c r="W183" s="0" t="n">
        <v>1.2518</v>
      </c>
      <c r="X183" s="23" t="n">
        <f aca="false">(W183-W182)/W182</f>
        <v>-0.0100434954527481</v>
      </c>
      <c r="Y183" s="0" t="n">
        <v>1.5624</v>
      </c>
      <c r="Z183" s="24" t="n">
        <f aca="false">(Y183-Y182)/Y182</f>
        <v>0.00437130367703775</v>
      </c>
    </row>
    <row r="184" customFormat="false" ht="13.8" hidden="false" customHeight="false" outlineLevel="0" collapsed="false">
      <c r="A184" s="8" t="n">
        <v>38894</v>
      </c>
      <c r="B184" s="0" t="n">
        <v>107.35</v>
      </c>
      <c r="C184" s="9" t="n">
        <f aca="false">(B184-B183)/B183</f>
        <v>0.0177284793325748</v>
      </c>
      <c r="D184" s="0" t="n">
        <v>13.08</v>
      </c>
      <c r="E184" s="9" t="n">
        <f aca="false">(D184-D183)/D183</f>
        <v>-0.176840780365009</v>
      </c>
      <c r="F184" s="0" t="n">
        <v>127.28</v>
      </c>
      <c r="G184" s="9" t="n">
        <f aca="false">(F184-F183)/F183</f>
        <v>0.022822243651559</v>
      </c>
      <c r="H184" s="0" t="n">
        <f aca="false">AVERAGE(F170:F183)</f>
        <v>128.685</v>
      </c>
      <c r="I184" s="0" t="n">
        <f aca="false">AVERAGE(F177:F183)</f>
        <v>126.88</v>
      </c>
      <c r="J184" s="0" t="n">
        <f aca="false">AVERAGE(F181:F183)</f>
        <v>124.813333333333</v>
      </c>
      <c r="K184" s="10" t="n">
        <v>69.94</v>
      </c>
      <c r="L184" s="9" t="n">
        <f aca="false">(K184-K183)/K183</f>
        <v>0.00662061024755316</v>
      </c>
      <c r="M184" s="10" t="n">
        <v>68.33</v>
      </c>
      <c r="N184" s="9" t="n">
        <f aca="false">(M184-M183)/M183</f>
        <v>0.0326431917787516</v>
      </c>
      <c r="O184" s="0" t="n">
        <v>2.61</v>
      </c>
      <c r="P184" s="9" t="n">
        <f aca="false">(O184-O183)/O183</f>
        <v>-0.00381679389312986</v>
      </c>
      <c r="Q184" s="10" t="n">
        <v>2.57</v>
      </c>
      <c r="R184" s="9" t="n">
        <f aca="false">(Q184-Q183)/Q183</f>
        <v>0.0118110236220473</v>
      </c>
      <c r="S184" s="10" t="n">
        <v>5.22</v>
      </c>
      <c r="T184" s="9" t="n">
        <f aca="false">(S184-S183)/S183</f>
        <v>0.00772200772200773</v>
      </c>
      <c r="U184" s="13" t="n">
        <v>0.33</v>
      </c>
      <c r="V184" s="9" t="n">
        <f aca="false">(U184-U183)/U183</f>
        <v>-0.108108108108108</v>
      </c>
      <c r="W184" s="0" t="n">
        <v>1.2786</v>
      </c>
      <c r="X184" s="23" t="n">
        <f aca="false">(W184-W183)/W183</f>
        <v>0.0214091707940565</v>
      </c>
      <c r="Y184" s="0" t="n">
        <v>1.5644</v>
      </c>
      <c r="Z184" s="24" t="n">
        <f aca="false">(Y184-Y183)/Y183</f>
        <v>0.00128008192524322</v>
      </c>
    </row>
    <row r="185" customFormat="false" ht="13.8" hidden="false" customHeight="false" outlineLevel="0" collapsed="false">
      <c r="A185" s="8" t="n">
        <v>38901</v>
      </c>
      <c r="B185" s="0" t="n">
        <v>107.36</v>
      </c>
      <c r="C185" s="9" t="n">
        <f aca="false">(B185-B184)/B184</f>
        <v>9.3153237075036E-005</v>
      </c>
      <c r="D185" s="0" t="n">
        <v>13.97</v>
      </c>
      <c r="E185" s="9" t="n">
        <f aca="false">(D185-D184)/D184</f>
        <v>0.0680428134556575</v>
      </c>
      <c r="F185" s="0" t="n">
        <v>126.61</v>
      </c>
      <c r="G185" s="9" t="n">
        <f aca="false">(F185-F184)/F184</f>
        <v>-0.00526398491514772</v>
      </c>
      <c r="H185" s="0" t="n">
        <f aca="false">AVERAGE(F171:F184)</f>
        <v>128.475714285714</v>
      </c>
      <c r="I185" s="0" t="n">
        <f aca="false">AVERAGE(F178:F184)</f>
        <v>126.6</v>
      </c>
      <c r="J185" s="0" t="n">
        <f aca="false">AVERAGE(F182:F184)</f>
        <v>125.456666666667</v>
      </c>
      <c r="K185" s="10" t="n">
        <v>72.65</v>
      </c>
      <c r="L185" s="9" t="n">
        <f aca="false">(K185-K184)/K184</f>
        <v>0.0387474978553047</v>
      </c>
      <c r="M185" s="10" t="n">
        <v>71.82</v>
      </c>
      <c r="N185" s="9" t="n">
        <f aca="false">(M185-M184)/M184</f>
        <v>0.0510756622274257</v>
      </c>
      <c r="O185" s="0" t="n">
        <v>2.63</v>
      </c>
      <c r="P185" s="9" t="n">
        <f aca="false">(O185-O184)/O184</f>
        <v>0.00766283524904215</v>
      </c>
      <c r="Q185" s="10" t="n">
        <v>2.51</v>
      </c>
      <c r="R185" s="9" t="n">
        <f aca="false">(Q185-Q184)/Q184</f>
        <v>-0.0233463035019457</v>
      </c>
      <c r="S185" s="10" t="n">
        <v>5.18</v>
      </c>
      <c r="T185" s="9" t="n">
        <f aca="false">(S185-S184)/S184</f>
        <v>-0.00766283524904215</v>
      </c>
      <c r="U185" s="13" t="n">
        <v>0.279999999999999</v>
      </c>
      <c r="V185" s="9" t="n">
        <f aca="false">(U185-U184)/U184</f>
        <v>-0.151515151515154</v>
      </c>
      <c r="W185" s="0" t="n">
        <v>1.2818</v>
      </c>
      <c r="X185" s="23" t="n">
        <f aca="false">(W185-W184)/W184</f>
        <v>0.00250273736899741</v>
      </c>
      <c r="Y185" s="0" t="n">
        <v>1.5667</v>
      </c>
      <c r="Z185" s="24" t="n">
        <f aca="false">(Y185-Y184)/Y184</f>
        <v>0.0014702122219381</v>
      </c>
    </row>
    <row r="186" customFormat="false" ht="13.8" hidden="false" customHeight="false" outlineLevel="0" collapsed="false">
      <c r="A186" s="8" t="n">
        <v>38908</v>
      </c>
      <c r="B186" s="0" t="n">
        <v>105.88</v>
      </c>
      <c r="C186" s="9" t="n">
        <f aca="false">(B186-B185)/B185</f>
        <v>-0.013785394932936</v>
      </c>
      <c r="D186" s="0" t="n">
        <v>18.05</v>
      </c>
      <c r="E186" s="9" t="n">
        <f aca="false">(D186-D185)/D185</f>
        <v>0.292054402290623</v>
      </c>
      <c r="F186" s="0" t="n">
        <v>123.52</v>
      </c>
      <c r="G186" s="9" t="n">
        <f aca="false">(F186-F185)/F185</f>
        <v>-0.0244056551615197</v>
      </c>
      <c r="H186" s="0" t="n">
        <f aca="false">AVERAGE(F172:F185)</f>
        <v>128.245714285714</v>
      </c>
      <c r="I186" s="0" t="n">
        <f aca="false">AVERAGE(F179:F185)</f>
        <v>126.53</v>
      </c>
      <c r="J186" s="0" t="n">
        <f aca="false">AVERAGE(F183:F185)</f>
        <v>126.11</v>
      </c>
      <c r="K186" s="10" t="n">
        <v>74.65</v>
      </c>
      <c r="L186" s="9" t="n">
        <f aca="false">(K186-K185)/K185</f>
        <v>0.0275292498279422</v>
      </c>
      <c r="M186" s="10" t="n">
        <v>73.45</v>
      </c>
      <c r="N186" s="9" t="n">
        <f aca="false">(M186-M185)/M185</f>
        <v>0.022695627958786</v>
      </c>
      <c r="O186" s="0" t="n">
        <v>2.59</v>
      </c>
      <c r="P186" s="9" t="n">
        <f aca="false">(O186-O185)/O185</f>
        <v>-0.0152091254752854</v>
      </c>
      <c r="Q186" s="10" t="n">
        <v>2.47</v>
      </c>
      <c r="R186" s="9" t="n">
        <f aca="false">(Q186-Q185)/Q185</f>
        <v>-0.0159362549800795</v>
      </c>
      <c r="S186" s="10" t="n">
        <v>5.1</v>
      </c>
      <c r="T186" s="9" t="n">
        <f aca="false">(S186-S185)/S185</f>
        <v>-0.0154440154440155</v>
      </c>
      <c r="U186" s="13" t="n">
        <v>0.17</v>
      </c>
      <c r="V186" s="9" t="n">
        <f aca="false">(U186-U185)/U185</f>
        <v>-0.392857142857142</v>
      </c>
      <c r="W186" s="0" t="n">
        <v>1.2642</v>
      </c>
      <c r="X186" s="23" t="n">
        <f aca="false">(W186-W185)/W185</f>
        <v>-0.0137306912154783</v>
      </c>
      <c r="Y186" s="0" t="n">
        <v>1.5619</v>
      </c>
      <c r="Z186" s="24" t="n">
        <f aca="false">(Y186-Y185)/Y185</f>
        <v>-0.00306376460075312</v>
      </c>
    </row>
    <row r="187" customFormat="false" ht="13.8" hidden="false" customHeight="false" outlineLevel="0" collapsed="false">
      <c r="A187" s="8" t="n">
        <v>38915</v>
      </c>
      <c r="B187" s="0" t="n">
        <v>108.89</v>
      </c>
      <c r="C187" s="9" t="n">
        <f aca="false">(B187-B186)/B186</f>
        <v>0.0284284095202116</v>
      </c>
      <c r="D187" s="0" t="n">
        <v>17.4</v>
      </c>
      <c r="E187" s="9" t="n">
        <f aca="false">(D187-D186)/D186</f>
        <v>-0.0360110803324101</v>
      </c>
      <c r="F187" s="0" t="n">
        <v>123.95</v>
      </c>
      <c r="G187" s="9" t="n">
        <f aca="false">(F187-F186)/F186</f>
        <v>0.00348121761658037</v>
      </c>
      <c r="H187" s="0" t="n">
        <f aca="false">AVERAGE(F173:F186)</f>
        <v>127.815714285714</v>
      </c>
      <c r="I187" s="0" t="n">
        <f aca="false">AVERAGE(F180:F186)</f>
        <v>125.835714285714</v>
      </c>
      <c r="J187" s="0" t="n">
        <f aca="false">AVERAGE(F184:F186)</f>
        <v>125.803333333333</v>
      </c>
      <c r="K187" s="10" t="n">
        <v>75.21</v>
      </c>
      <c r="L187" s="9" t="n">
        <f aca="false">(K187-K186)/K186</f>
        <v>0.00750167448091076</v>
      </c>
      <c r="M187" s="10" t="n">
        <v>73.99</v>
      </c>
      <c r="N187" s="9" t="n">
        <f aca="false">(M187-M186)/M186</f>
        <v>0.00735194009530282</v>
      </c>
      <c r="O187" s="0" t="n">
        <v>2.58</v>
      </c>
      <c r="P187" s="9" t="n">
        <f aca="false">(O187-O186)/O186</f>
        <v>-0.00386100386100361</v>
      </c>
      <c r="Q187" s="10" t="n">
        <v>2.45</v>
      </c>
      <c r="R187" s="9" t="n">
        <f aca="false">(Q187-Q186)/Q186</f>
        <v>-0.00809716599190284</v>
      </c>
      <c r="S187" s="10" t="n">
        <v>5.07</v>
      </c>
      <c r="T187" s="9" t="n">
        <f aca="false">(S187-S186)/S186</f>
        <v>-0.00588235294117635</v>
      </c>
      <c r="U187" s="13" t="n">
        <v>0.100000000000001</v>
      </c>
      <c r="V187" s="9" t="n">
        <f aca="false">(U187-U186)/U186</f>
        <v>-0.41176470588235</v>
      </c>
      <c r="W187" s="0" t="n">
        <v>1.2685</v>
      </c>
      <c r="X187" s="23" t="n">
        <f aca="false">(W187-W186)/W186</f>
        <v>0.00340136054421766</v>
      </c>
      <c r="Y187" s="0" t="n">
        <v>1.5686</v>
      </c>
      <c r="Z187" s="24" t="n">
        <f aca="false">(Y187-Y186)/Y186</f>
        <v>0.00428964722453418</v>
      </c>
    </row>
    <row r="188" customFormat="false" ht="13.8" hidden="false" customHeight="false" outlineLevel="0" collapsed="false">
      <c r="A188" s="8" t="n">
        <v>38922</v>
      </c>
      <c r="B188" s="0" t="n">
        <v>111.39</v>
      </c>
      <c r="C188" s="9" t="n">
        <f aca="false">(B188-B187)/B187</f>
        <v>0.0229589493984755</v>
      </c>
      <c r="D188" s="0" t="n">
        <v>14.33</v>
      </c>
      <c r="E188" s="9" t="n">
        <f aca="false">(D188-D187)/D187</f>
        <v>-0.176436781609195</v>
      </c>
      <c r="F188" s="0" t="n">
        <v>127.98</v>
      </c>
      <c r="G188" s="9" t="n">
        <f aca="false">(F188-F187)/F187</f>
        <v>0.0325131101250504</v>
      </c>
      <c r="H188" s="0" t="n">
        <f aca="false">AVERAGE(F174:F187)</f>
        <v>127.475714285714</v>
      </c>
      <c r="I188" s="0" t="n">
        <f aca="false">AVERAGE(F181:F187)</f>
        <v>125.114285714286</v>
      </c>
      <c r="J188" s="0" t="n">
        <f aca="false">AVERAGE(F185:F187)</f>
        <v>124.693333333333</v>
      </c>
      <c r="K188" s="10" t="n">
        <v>73.98</v>
      </c>
      <c r="L188" s="9" t="n">
        <f aca="false">(K188-K187)/K187</f>
        <v>-0.0163542082169923</v>
      </c>
      <c r="M188" s="10" t="n">
        <v>73.52</v>
      </c>
      <c r="N188" s="9" t="n">
        <f aca="false">(M188-M187)/M187</f>
        <v>-0.0063522097580754</v>
      </c>
      <c r="O188" s="0" t="n">
        <v>2.56</v>
      </c>
      <c r="P188" s="9" t="n">
        <f aca="false">(O188-O187)/O187</f>
        <v>-0.00775193798449596</v>
      </c>
      <c r="Q188" s="10" t="n">
        <v>2.42</v>
      </c>
      <c r="R188" s="9" t="n">
        <f aca="false">(Q188-Q187)/Q187</f>
        <v>-0.0122448979591838</v>
      </c>
      <c r="S188" s="10" t="n">
        <v>5.05</v>
      </c>
      <c r="T188" s="9" t="n">
        <f aca="false">(S188-S187)/S187</f>
        <v>-0.0039447731755425</v>
      </c>
      <c r="U188" s="13" t="n">
        <v>0.0800000000000001</v>
      </c>
      <c r="V188" s="9" t="n">
        <f aca="false">(U188-U187)/U187</f>
        <v>-0.200000000000004</v>
      </c>
      <c r="W188" s="0" t="n">
        <v>1.2751</v>
      </c>
      <c r="X188" s="23" t="n">
        <f aca="false">(W188-W187)/W187</f>
        <v>0.00520299566417023</v>
      </c>
      <c r="Y188" s="0" t="n">
        <v>1.573</v>
      </c>
      <c r="Z188" s="24" t="n">
        <f aca="false">(Y188-Y187)/Y187</f>
        <v>0.00280504908835902</v>
      </c>
    </row>
    <row r="189" customFormat="false" ht="13.8" hidden="false" customHeight="false" outlineLevel="0" collapsed="false">
      <c r="A189" s="8" t="n">
        <v>38929</v>
      </c>
      <c r="B189" s="0" t="n">
        <v>112.37</v>
      </c>
      <c r="C189" s="9" t="n">
        <f aca="false">(B189-B188)/B188</f>
        <v>0.00879791722775836</v>
      </c>
      <c r="D189" s="0" t="n">
        <v>14.34</v>
      </c>
      <c r="E189" s="9" t="n">
        <f aca="false">(D189-D188)/D188</f>
        <v>0.000697836706210732</v>
      </c>
      <c r="F189" s="0" t="n">
        <v>128.2</v>
      </c>
      <c r="G189" s="9" t="n">
        <f aca="false">(F189-F188)/F188</f>
        <v>0.00171901859665561</v>
      </c>
      <c r="H189" s="0" t="n">
        <f aca="false">AVERAGE(F175:F188)</f>
        <v>127.249285714286</v>
      </c>
      <c r="I189" s="0" t="n">
        <f aca="false">AVERAGE(F182:F188)</f>
        <v>125.49</v>
      </c>
      <c r="J189" s="0" t="n">
        <f aca="false">AVERAGE(F186:F188)</f>
        <v>125.15</v>
      </c>
      <c r="K189" s="10" t="n">
        <v>73.87</v>
      </c>
      <c r="L189" s="9" t="n">
        <f aca="false">(K189-K188)/K188</f>
        <v>-0.00148688834820221</v>
      </c>
      <c r="M189" s="10" t="n">
        <v>73.53</v>
      </c>
      <c r="N189" s="9" t="n">
        <f aca="false">(M189-M188)/M188</f>
        <v>0.000136017410228579</v>
      </c>
      <c r="O189" s="0" t="n">
        <v>2.57</v>
      </c>
      <c r="P189" s="9" t="n">
        <f aca="false">(O189-O188)/O188</f>
        <v>0.00390624999999992</v>
      </c>
      <c r="Q189" s="10" t="n">
        <v>2.32</v>
      </c>
      <c r="R189" s="9" t="n">
        <f aca="false">(Q189-Q188)/Q188</f>
        <v>-0.0413223140495868</v>
      </c>
      <c r="S189" s="10" t="n">
        <v>4.96</v>
      </c>
      <c r="T189" s="9" t="n">
        <f aca="false">(S189-S188)/S188</f>
        <v>-0.0178217821782178</v>
      </c>
      <c r="U189" s="13" t="n">
        <v>-0.00999999999999979</v>
      </c>
      <c r="V189" s="9" t="n">
        <f aca="false">(U189-U188)/U188</f>
        <v>-1.125</v>
      </c>
      <c r="W189" s="0" t="n">
        <v>1.2879</v>
      </c>
      <c r="X189" s="23" t="n">
        <f aca="false">(W189-W188)/W188</f>
        <v>0.0100384283585602</v>
      </c>
      <c r="Y189" s="0" t="n">
        <v>1.5738</v>
      </c>
      <c r="Z189" s="24" t="n">
        <f aca="false">(Y189-Y188)/Y188</f>
        <v>0.00050858232676423</v>
      </c>
    </row>
    <row r="190" customFormat="false" ht="13.8" hidden="false" customHeight="false" outlineLevel="0" collapsed="false">
      <c r="A190" s="8" t="n">
        <v>38936</v>
      </c>
      <c r="B190" s="0" t="n">
        <v>109.69</v>
      </c>
      <c r="C190" s="9" t="n">
        <f aca="false">(B190-B189)/B189</f>
        <v>-0.0238497819702768</v>
      </c>
      <c r="D190" s="0" t="n">
        <v>14.3</v>
      </c>
      <c r="E190" s="9" t="n">
        <f aca="false">(D190-D189)/D189</f>
        <v>-0.00278940027893997</v>
      </c>
      <c r="F190" s="0" t="n">
        <v>127.01</v>
      </c>
      <c r="G190" s="9" t="n">
        <f aca="false">(F190-F189)/F189</f>
        <v>-0.00928237129485167</v>
      </c>
      <c r="H190" s="0" t="n">
        <f aca="false">AVERAGE(F176:F189)</f>
        <v>127.015714285714</v>
      </c>
      <c r="I190" s="0" t="n">
        <f aca="false">AVERAGE(F183:F189)</f>
        <v>125.997142857143</v>
      </c>
      <c r="J190" s="0" t="n">
        <f aca="false">AVERAGE(F187:F189)</f>
        <v>126.71</v>
      </c>
      <c r="K190" s="10" t="n">
        <v>75.2</v>
      </c>
      <c r="L190" s="9" t="n">
        <f aca="false">(K190-K189)/K189</f>
        <v>0.0180046026803844</v>
      </c>
      <c r="M190" s="10" t="n">
        <v>76.32</v>
      </c>
      <c r="N190" s="9" t="n">
        <f aca="false">(M190-M189)/M189</f>
        <v>0.0379436964504283</v>
      </c>
      <c r="O190" s="0" t="n">
        <v>2.63</v>
      </c>
      <c r="P190" s="9" t="n">
        <f aca="false">(O190-O189)/O189</f>
        <v>0.0233463035019454</v>
      </c>
      <c r="Q190" s="10" t="n">
        <v>2.24</v>
      </c>
      <c r="R190" s="9" t="n">
        <f aca="false">(Q190-Q189)/Q189</f>
        <v>-0.0344827586206895</v>
      </c>
      <c r="S190" s="10" t="n">
        <v>4.94</v>
      </c>
      <c r="T190" s="9" t="n">
        <f aca="false">(S190-S189)/S189</f>
        <v>-0.00403225806451604</v>
      </c>
      <c r="U190" s="13" t="n">
        <v>-0.00999999999999979</v>
      </c>
      <c r="V190" s="9" t="n">
        <f aca="false">(U190-U189)/U189</f>
        <v>-0</v>
      </c>
      <c r="W190" s="0" t="n">
        <v>1.2721</v>
      </c>
      <c r="X190" s="23" t="n">
        <f aca="false">(W190-W189)/W189</f>
        <v>-0.0122680332323938</v>
      </c>
      <c r="Y190" s="0" t="n">
        <v>1.5812</v>
      </c>
      <c r="Z190" s="24" t="n">
        <f aca="false">(Y190-Y189)/Y189</f>
        <v>0.00470199517092378</v>
      </c>
    </row>
    <row r="191" customFormat="false" ht="13.8" hidden="false" customHeight="false" outlineLevel="0" collapsed="false">
      <c r="A191" s="8" t="n">
        <v>38943</v>
      </c>
      <c r="B191" s="0" t="n">
        <v>111.7</v>
      </c>
      <c r="C191" s="9" t="n">
        <f aca="false">(B191-B190)/B190</f>
        <v>0.0183243686753579</v>
      </c>
      <c r="D191" s="0" t="n">
        <v>11.64</v>
      </c>
      <c r="E191" s="9" t="n">
        <f aca="false">(D191-D190)/D190</f>
        <v>-0.186013986013986</v>
      </c>
      <c r="F191" s="0" t="n">
        <v>130.69</v>
      </c>
      <c r="G191" s="9" t="n">
        <f aca="false">(F191-F190)/F190</f>
        <v>0.0289740965278324</v>
      </c>
      <c r="H191" s="0" t="n">
        <f aca="false">AVERAGE(F177:F190)</f>
        <v>126.622142857143</v>
      </c>
      <c r="I191" s="0" t="n">
        <f aca="false">AVERAGE(F184:F190)</f>
        <v>126.364285714286</v>
      </c>
      <c r="J191" s="0" t="n">
        <f aca="false">AVERAGE(F188:F190)</f>
        <v>127.73</v>
      </c>
      <c r="K191" s="10" t="n">
        <v>75.63</v>
      </c>
      <c r="L191" s="9" t="n">
        <f aca="false">(K191-K190)/K190</f>
        <v>0.00571808510638288</v>
      </c>
      <c r="M191" s="10" t="n">
        <v>76.98</v>
      </c>
      <c r="N191" s="9" t="n">
        <f aca="false">(M191-M190)/M190</f>
        <v>0.00864779874213851</v>
      </c>
      <c r="O191" s="0" t="n">
        <v>2.58</v>
      </c>
      <c r="P191" s="9" t="n">
        <f aca="false">(O191-O190)/O190</f>
        <v>-0.0190114068441066</v>
      </c>
      <c r="Q191" s="10" t="n">
        <v>2.27</v>
      </c>
      <c r="R191" s="9" t="n">
        <f aca="false">(Q191-Q190)/Q190</f>
        <v>0.0133928571428571</v>
      </c>
      <c r="S191" s="10" t="n">
        <v>4.9</v>
      </c>
      <c r="T191" s="9" t="n">
        <f aca="false">(S191-S190)/S190</f>
        <v>-0.00809716599190284</v>
      </c>
      <c r="U191" s="13" t="n">
        <v>-0.0699999999999994</v>
      </c>
      <c r="V191" s="9" t="n">
        <f aca="false">(U191-U190)/U190</f>
        <v>6.00000000000009</v>
      </c>
      <c r="W191" s="0" t="n">
        <v>1.2825</v>
      </c>
      <c r="X191" s="23" t="n">
        <f aca="false">(W191-W190)/W190</f>
        <v>0.00817545790425278</v>
      </c>
      <c r="Y191" s="0" t="n">
        <v>1.5809</v>
      </c>
      <c r="Z191" s="24" t="n">
        <f aca="false">(Y191-Y190)/Y190</f>
        <v>-0.000189729319504013</v>
      </c>
    </row>
    <row r="192" customFormat="false" ht="13.8" hidden="false" customHeight="false" outlineLevel="0" collapsed="false">
      <c r="A192" s="8" t="n">
        <v>38950</v>
      </c>
      <c r="B192" s="0" t="n">
        <v>110.23</v>
      </c>
      <c r="C192" s="9" t="n">
        <f aca="false">(B192-B191)/B191</f>
        <v>-0.0131602506714414</v>
      </c>
      <c r="D192" s="0" t="n">
        <v>12.31</v>
      </c>
      <c r="E192" s="9" t="n">
        <f aca="false">(D192-D191)/D191</f>
        <v>0.0575601374570447</v>
      </c>
      <c r="F192" s="0" t="n">
        <v>129.81</v>
      </c>
      <c r="G192" s="9" t="n">
        <f aca="false">(F192-F191)/F191</f>
        <v>-0.00673349146836021</v>
      </c>
      <c r="H192" s="0" t="n">
        <f aca="false">AVERAGE(F178:F191)</f>
        <v>126.725714285714</v>
      </c>
      <c r="I192" s="0" t="n">
        <f aca="false">AVERAGE(F185:F191)</f>
        <v>126.851428571429</v>
      </c>
      <c r="J192" s="0" t="n">
        <f aca="false">AVERAGE(F189:F191)</f>
        <v>128.633333333333</v>
      </c>
      <c r="K192" s="10" t="n">
        <v>71.79</v>
      </c>
      <c r="L192" s="9" t="n">
        <f aca="false">(K192-K191)/K191</f>
        <v>-0.0507735025783418</v>
      </c>
      <c r="M192" s="10" t="n">
        <v>72.35</v>
      </c>
      <c r="N192" s="9" t="n">
        <f aca="false">(M192-M191)/M191</f>
        <v>-0.0601454923356717</v>
      </c>
      <c r="O192" s="0" t="n">
        <v>2.52</v>
      </c>
      <c r="P192" s="9" t="n">
        <f aca="false">(O192-O191)/O191</f>
        <v>-0.0232558139534884</v>
      </c>
      <c r="Q192" s="10" t="n">
        <v>2.25</v>
      </c>
      <c r="R192" s="9" t="n">
        <f aca="false">(Q192-Q191)/Q191</f>
        <v>-0.00881057268722468</v>
      </c>
      <c r="S192" s="10" t="n">
        <v>4.81</v>
      </c>
      <c r="T192" s="9" t="n">
        <f aca="false">(S192-S191)/S191</f>
        <v>-0.0183673469387757</v>
      </c>
      <c r="U192" s="13" t="n">
        <v>-0.16</v>
      </c>
      <c r="V192" s="9" t="n">
        <f aca="false">(U192-U191)/U191</f>
        <v>1.28571428571431</v>
      </c>
      <c r="W192" s="0" t="n">
        <v>1.2762</v>
      </c>
      <c r="X192" s="23" t="n">
        <f aca="false">(W192-W191)/W191</f>
        <v>-0.00491228070175436</v>
      </c>
      <c r="Y192" s="0" t="n">
        <v>1.5807</v>
      </c>
      <c r="Z192" s="24" t="n">
        <f aca="false">(Y192-Y191)/Y191</f>
        <v>-0.000126510215700044</v>
      </c>
    </row>
    <row r="193" customFormat="false" ht="13.8" hidden="false" customHeight="false" outlineLevel="0" collapsed="false">
      <c r="A193" s="8" t="n">
        <v>38957</v>
      </c>
      <c r="B193" s="0" t="n">
        <v>110.49</v>
      </c>
      <c r="C193" s="9" t="n">
        <f aca="false">(B193-B192)/B192</f>
        <v>0.00235870452689822</v>
      </c>
      <c r="D193" s="0" t="n">
        <v>11.96</v>
      </c>
      <c r="E193" s="9" t="n">
        <f aca="false">(D193-D192)/D192</f>
        <v>-0.0284321689683184</v>
      </c>
      <c r="F193" s="0" t="n">
        <v>131.42</v>
      </c>
      <c r="G193" s="9" t="n">
        <f aca="false">(F193-F192)/F192</f>
        <v>0.0124027424697634</v>
      </c>
      <c r="H193" s="0" t="n">
        <f aca="false">AVERAGE(F179:F192)</f>
        <v>126.919285714286</v>
      </c>
      <c r="I193" s="0" t="n">
        <f aca="false">AVERAGE(F186:F192)</f>
        <v>127.308571428571</v>
      </c>
      <c r="J193" s="0" t="n">
        <f aca="false">AVERAGE(F190:F192)</f>
        <v>129.17</v>
      </c>
      <c r="K193" s="10" t="n">
        <v>72.12</v>
      </c>
      <c r="L193" s="9" t="n">
        <f aca="false">(K193-K192)/K192</f>
        <v>0.00459674049310487</v>
      </c>
      <c r="M193" s="10" t="n">
        <v>71.92</v>
      </c>
      <c r="N193" s="9" t="n">
        <f aca="false">(M193-M192)/M192</f>
        <v>-0.00594333102971655</v>
      </c>
      <c r="O193" s="0" t="n">
        <v>2.44</v>
      </c>
      <c r="P193" s="9" t="n">
        <f aca="false">(O193-O192)/O192</f>
        <v>-0.0317460317460314</v>
      </c>
      <c r="Q193" s="10" t="n">
        <v>2.29</v>
      </c>
      <c r="R193" s="9" t="n">
        <f aca="false">(Q193-Q192)/Q192</f>
        <v>0.0177777777777778</v>
      </c>
      <c r="S193" s="10" t="n">
        <v>4.76</v>
      </c>
      <c r="T193" s="9" t="n">
        <f aca="false">(S193-S192)/S192</f>
        <v>-0.0103950103950104</v>
      </c>
      <c r="U193" s="13" t="n">
        <v>-0.17</v>
      </c>
      <c r="V193" s="9" t="n">
        <f aca="false">(U193-U192)/U192</f>
        <v>0.0624999999999986</v>
      </c>
      <c r="W193" s="0" t="n">
        <v>1.2831</v>
      </c>
      <c r="X193" s="23" t="n">
        <f aca="false">(W193-W192)/W192</f>
        <v>0.0054066760695815</v>
      </c>
      <c r="Y193" s="0" t="n">
        <v>1.579</v>
      </c>
      <c r="Z193" s="24" t="n">
        <f aca="false">(Y193-Y192)/Y192</f>
        <v>-0.00107547289175684</v>
      </c>
    </row>
    <row r="194" customFormat="false" ht="13.8" hidden="false" customHeight="false" outlineLevel="0" collapsed="false">
      <c r="A194" s="8" t="n">
        <v>38965</v>
      </c>
      <c r="B194" s="0" t="n">
        <v>110.09</v>
      </c>
      <c r="C194" s="9" t="n">
        <f aca="false">(B194-B193)/B193</f>
        <v>-0.00362023712553165</v>
      </c>
      <c r="D194" s="0" t="n">
        <v>13.16</v>
      </c>
      <c r="E194" s="9" t="n">
        <f aca="false">(D194-D193)/D193</f>
        <v>0.100334448160535</v>
      </c>
      <c r="F194" s="0" t="n">
        <v>130.28</v>
      </c>
      <c r="G194" s="9" t="n">
        <f aca="false">(F194-F193)/F193</f>
        <v>-0.00867447877035449</v>
      </c>
      <c r="H194" s="0" t="n">
        <f aca="false">AVERAGE(F180:F193)</f>
        <v>127.136428571429</v>
      </c>
      <c r="I194" s="0" t="n">
        <f aca="false">AVERAGE(F187:F193)</f>
        <v>128.437142857143</v>
      </c>
      <c r="J194" s="0" t="n">
        <f aca="false">AVERAGE(F191:F193)</f>
        <v>130.64</v>
      </c>
      <c r="K194" s="10" t="n">
        <v>70.01</v>
      </c>
      <c r="L194" s="9" t="n">
        <f aca="false">(K194-K193)/K193</f>
        <v>-0.0292567942318358</v>
      </c>
      <c r="M194" s="10" t="n">
        <v>68.35</v>
      </c>
      <c r="N194" s="9" t="n">
        <f aca="false">(M194-M193)/M193</f>
        <v>-0.049638487208009</v>
      </c>
      <c r="O194" s="0" t="n">
        <v>2.37</v>
      </c>
      <c r="P194" s="9" t="n">
        <f aca="false">(O194-O193)/O193</f>
        <v>-0.0286885245901639</v>
      </c>
      <c r="Q194" s="10" t="n">
        <v>2.36</v>
      </c>
      <c r="R194" s="9" t="n">
        <f aca="false">(Q194-Q193)/Q193</f>
        <v>0.0305676855895196</v>
      </c>
      <c r="S194" s="10" t="n">
        <v>4.79</v>
      </c>
      <c r="T194" s="9" t="n">
        <f aca="false">(S194-S193)/S193</f>
        <v>0.00630252100840341</v>
      </c>
      <c r="U194" s="13" t="n">
        <v>-0.0499999999999998</v>
      </c>
      <c r="V194" s="9" t="n">
        <f aca="false">(U194-U193)/U193</f>
        <v>-0.705882352941177</v>
      </c>
      <c r="W194" s="0" t="n">
        <v>1.2671</v>
      </c>
      <c r="X194" s="23" t="n">
        <f aca="false">(W194-W193)/W193</f>
        <v>-0.0124697997038423</v>
      </c>
      <c r="Y194" s="0" t="n">
        <v>1.5806</v>
      </c>
      <c r="Z194" s="24" t="n">
        <f aca="false">(Y194-Y193)/Y193</f>
        <v>0.00101329955668147</v>
      </c>
    </row>
    <row r="195" customFormat="false" ht="13.8" hidden="false" customHeight="false" outlineLevel="0" collapsed="false">
      <c r="A195" s="8" t="n">
        <v>38971</v>
      </c>
      <c r="B195" s="0" t="n">
        <v>112.31</v>
      </c>
      <c r="C195" s="9" t="n">
        <f aca="false">(B195-B194)/B194</f>
        <v>0.020165319284222</v>
      </c>
      <c r="D195" s="0" t="n">
        <v>11.76</v>
      </c>
      <c r="E195" s="9" t="n">
        <f aca="false">(D195-D194)/D194</f>
        <v>-0.106382978723404</v>
      </c>
      <c r="F195" s="0" t="n">
        <v>131.96</v>
      </c>
      <c r="G195" s="9" t="n">
        <f aca="false">(F195-F194)/F194</f>
        <v>0.012895302425545</v>
      </c>
      <c r="H195" s="0" t="n">
        <f aca="false">AVERAGE(F181:F194)</f>
        <v>127.227857142857</v>
      </c>
      <c r="I195" s="0" t="n">
        <f aca="false">AVERAGE(F188:F194)</f>
        <v>129.341428571429</v>
      </c>
      <c r="J195" s="0" t="n">
        <f aca="false">AVERAGE(F192:F194)</f>
        <v>130.503333333333</v>
      </c>
      <c r="K195" s="10" t="n">
        <v>67.53</v>
      </c>
      <c r="L195" s="9" t="n">
        <f aca="false">(K195-K194)/K194</f>
        <v>-0.0354235109270105</v>
      </c>
      <c r="M195" s="10" t="n">
        <v>65.76</v>
      </c>
      <c r="N195" s="9" t="n">
        <f aca="false">(M195-M194)/M194</f>
        <v>-0.0378931967812727</v>
      </c>
      <c r="O195" s="0" t="n">
        <v>2.32</v>
      </c>
      <c r="P195" s="9" t="n">
        <f aca="false">(O195-O194)/O194</f>
        <v>-0.0210970464135022</v>
      </c>
      <c r="Q195" s="10" t="n">
        <v>2.41</v>
      </c>
      <c r="R195" s="9" t="n">
        <f aca="false">(Q195-Q194)/Q194</f>
        <v>0.0211864406779662</v>
      </c>
      <c r="S195" s="10" t="n">
        <v>4.79</v>
      </c>
      <c r="T195" s="9" t="n">
        <f aca="false">(S195-S194)/S194</f>
        <v>0</v>
      </c>
      <c r="U195" s="13" t="n">
        <v>-0.0199999999999996</v>
      </c>
      <c r="V195" s="9" t="n">
        <f aca="false">(U195-U194)/U194</f>
        <v>-0.600000000000007</v>
      </c>
      <c r="W195" s="0" t="n">
        <v>1.266</v>
      </c>
      <c r="X195" s="23" t="n">
        <f aca="false">(W195-W194)/W194</f>
        <v>-0.000868124062820518</v>
      </c>
      <c r="Y195" s="0" t="n">
        <v>1.5905</v>
      </c>
      <c r="Z195" s="24" t="n">
        <f aca="false">(Y195-Y194)/Y194</f>
        <v>0.0062634442616728</v>
      </c>
    </row>
    <row r="196" customFormat="false" ht="13.8" hidden="false" customHeight="false" outlineLevel="0" collapsed="false">
      <c r="A196" s="8" t="n">
        <v>38978</v>
      </c>
      <c r="B196" s="0" t="n">
        <v>112.43</v>
      </c>
      <c r="C196" s="9" t="n">
        <f aca="false">(B196-B195)/B195</f>
        <v>0.00106847119579739</v>
      </c>
      <c r="D196" s="0" t="n">
        <v>12.59</v>
      </c>
      <c r="E196" s="9" t="n">
        <f aca="false">(D196-D195)/D195</f>
        <v>0.070578231292517</v>
      </c>
      <c r="F196" s="0" t="n">
        <v>131.47</v>
      </c>
      <c r="G196" s="9" t="n">
        <f aca="false">(F196-F195)/F195</f>
        <v>-0.00371324643831471</v>
      </c>
      <c r="H196" s="0" t="n">
        <f aca="false">AVERAGE(F182:F195)</f>
        <v>127.7</v>
      </c>
      <c r="I196" s="0" t="n">
        <f aca="false">AVERAGE(F189:F195)</f>
        <v>129.91</v>
      </c>
      <c r="J196" s="0" t="n">
        <f aca="false">AVERAGE(F193:F195)</f>
        <v>131.22</v>
      </c>
      <c r="K196" s="10" t="n">
        <v>63.98</v>
      </c>
      <c r="L196" s="9" t="n">
        <f aca="false">(K196-K195)/K195</f>
        <v>-0.0525692284910411</v>
      </c>
      <c r="M196" s="10" t="n">
        <v>61.38</v>
      </c>
      <c r="N196" s="9" t="n">
        <f aca="false">(M196-M195)/M195</f>
        <v>-0.0666058394160584</v>
      </c>
      <c r="O196" s="0" t="n">
        <v>2.24</v>
      </c>
      <c r="P196" s="9" t="n">
        <f aca="false">(O196-O195)/O195</f>
        <v>-0.0344827586206897</v>
      </c>
      <c r="Q196" s="10" t="n">
        <v>2.42</v>
      </c>
      <c r="R196" s="9" t="n">
        <f aca="false">(Q196-Q195)/Q195</f>
        <v>0.00414937759336091</v>
      </c>
      <c r="S196" s="10" t="n">
        <v>4.71</v>
      </c>
      <c r="T196" s="9" t="n">
        <f aca="false">(S196-S195)/S195</f>
        <v>-0.0167014613778706</v>
      </c>
      <c r="U196" s="13" t="n">
        <v>-0.0999999999999996</v>
      </c>
      <c r="V196" s="9" t="n">
        <f aca="false">(U196-U195)/U195</f>
        <v>4.00000000000009</v>
      </c>
      <c r="W196" s="0" t="n">
        <v>1.2792</v>
      </c>
      <c r="X196" s="23" t="n">
        <f aca="false">(W196-W195)/W195</f>
        <v>0.0104265402843601</v>
      </c>
      <c r="Y196" s="0" t="n">
        <v>1.5794</v>
      </c>
      <c r="Z196" s="24" t="n">
        <f aca="false">(Y196-Y195)/Y195</f>
        <v>-0.00697893744105634</v>
      </c>
    </row>
    <row r="197" customFormat="false" ht="13.8" hidden="false" customHeight="false" outlineLevel="0" collapsed="false">
      <c r="A197" s="8" t="n">
        <v>38985</v>
      </c>
      <c r="B197" s="0" t="n">
        <v>113.25</v>
      </c>
      <c r="C197" s="9" t="n">
        <f aca="false">(B197-B196)/B196</f>
        <v>0.00729342702125761</v>
      </c>
      <c r="D197" s="0" t="n">
        <v>11.98</v>
      </c>
      <c r="E197" s="9" t="n">
        <f aca="false">(D197-D196)/D196</f>
        <v>-0.0484511517077045</v>
      </c>
      <c r="F197" s="0" t="n">
        <v>133.58</v>
      </c>
      <c r="G197" s="9" t="n">
        <f aca="false">(F197-F196)/F196</f>
        <v>0.0160492888111357</v>
      </c>
      <c r="H197" s="0" t="n">
        <f aca="false">AVERAGE(F183:F196)</f>
        <v>128.187142857143</v>
      </c>
      <c r="I197" s="0" t="n">
        <f aca="false">AVERAGE(F190:F196)</f>
        <v>130.377142857143</v>
      </c>
      <c r="J197" s="0" t="n">
        <f aca="false">AVERAGE(F194:F196)</f>
        <v>131.236666666667</v>
      </c>
      <c r="K197" s="10" t="n">
        <v>61.4</v>
      </c>
      <c r="L197" s="9" t="n">
        <f aca="false">(K197-K196)/K196</f>
        <v>-0.0403251015942482</v>
      </c>
      <c r="M197" s="10" t="n">
        <v>60.23</v>
      </c>
      <c r="N197" s="9" t="n">
        <f aca="false">(M197-M196)/M196</f>
        <v>-0.0187357445421963</v>
      </c>
      <c r="O197" s="0" t="n">
        <v>2.23</v>
      </c>
      <c r="P197" s="9" t="n">
        <f aca="false">(O197-O196)/O196</f>
        <v>-0.00446428571428601</v>
      </c>
      <c r="Q197" s="10" t="n">
        <v>2.33</v>
      </c>
      <c r="R197" s="9" t="n">
        <f aca="false">(Q197-Q196)/Q196</f>
        <v>-0.037190082644628</v>
      </c>
      <c r="S197" s="10" t="n">
        <v>4.6</v>
      </c>
      <c r="T197" s="9" t="n">
        <f aca="false">(S197-S196)/S196</f>
        <v>-0.0233545647558387</v>
      </c>
      <c r="U197" s="13" t="n">
        <v>-0.16</v>
      </c>
      <c r="V197" s="9" t="n">
        <f aca="false">(U197-U196)/U196</f>
        <v>0.600000000000007</v>
      </c>
      <c r="W197" s="0" t="n">
        <v>1.2679</v>
      </c>
      <c r="X197" s="23" t="n">
        <f aca="false">(W197-W196)/W196</f>
        <v>-0.00883364602876788</v>
      </c>
      <c r="Y197" s="0" t="n">
        <v>1.587</v>
      </c>
      <c r="Z197" s="24" t="n">
        <f aca="false">(Y197-Y196)/Y196</f>
        <v>0.00481195390654682</v>
      </c>
    </row>
    <row r="198" customFormat="false" ht="13.8" hidden="false" customHeight="false" outlineLevel="0" collapsed="false">
      <c r="A198" s="8" t="n">
        <v>38992</v>
      </c>
      <c r="B198" s="0" t="n">
        <v>114.12</v>
      </c>
      <c r="C198" s="9" t="n">
        <f aca="false">(B198-B197)/B197</f>
        <v>0.00768211920529805</v>
      </c>
      <c r="D198" s="0" t="n">
        <v>11.56</v>
      </c>
      <c r="E198" s="9" t="n">
        <f aca="false">(D198-D197)/D197</f>
        <v>-0.0350584307178631</v>
      </c>
      <c r="F198" s="0" t="n">
        <v>135.01</v>
      </c>
      <c r="G198" s="9" t="n">
        <f aca="false">(F198-F197)/F197</f>
        <v>0.0107051953885311</v>
      </c>
      <c r="H198" s="0" t="n">
        <f aca="false">AVERAGE(F184:F197)</f>
        <v>128.84</v>
      </c>
      <c r="I198" s="0" t="n">
        <f aca="false">AVERAGE(F191:F197)</f>
        <v>131.315714285714</v>
      </c>
      <c r="J198" s="0" t="n">
        <f aca="false">AVERAGE(F195:F197)</f>
        <v>132.336666666667</v>
      </c>
      <c r="K198" s="10" t="n">
        <v>61.94</v>
      </c>
      <c r="L198" s="9" t="n">
        <f aca="false">(K198-K197)/K197</f>
        <v>0.00879478827361562</v>
      </c>
      <c r="M198" s="10" t="n">
        <v>58.76</v>
      </c>
      <c r="N198" s="9" t="n">
        <f aca="false">(M198-M197)/M197</f>
        <v>-0.024406441972439</v>
      </c>
      <c r="O198" s="0" t="n">
        <v>2.19</v>
      </c>
      <c r="P198" s="9" t="n">
        <f aca="false">(O198-O197)/O197</f>
        <v>-0.0179372197309417</v>
      </c>
      <c r="Q198" s="10" t="n">
        <v>2.37</v>
      </c>
      <c r="R198" s="9" t="n">
        <f aca="false">(Q198-Q197)/Q197</f>
        <v>0.0171673819742489</v>
      </c>
      <c r="S198" s="10" t="n">
        <v>4.62</v>
      </c>
      <c r="T198" s="9" t="n">
        <f aca="false">(S198-S197)/S197</f>
        <v>0.00434782608695662</v>
      </c>
      <c r="U198" s="13" t="n">
        <v>-0.17</v>
      </c>
      <c r="V198" s="9" t="n">
        <f aca="false">(U198-U197)/U197</f>
        <v>0.0624999999999986</v>
      </c>
      <c r="W198" s="0" t="n">
        <v>1.2601</v>
      </c>
      <c r="X198" s="23" t="n">
        <f aca="false">(W198-W197)/W197</f>
        <v>-0.00615190472434737</v>
      </c>
      <c r="Y198" s="0" t="n">
        <v>1.5885</v>
      </c>
      <c r="Z198" s="24" t="n">
        <f aca="false">(Y198-Y197)/Y197</f>
        <v>0.000945179584121019</v>
      </c>
    </row>
    <row r="199" customFormat="false" ht="13.8" hidden="false" customHeight="false" outlineLevel="0" collapsed="false">
      <c r="A199" s="8" t="n">
        <v>38999</v>
      </c>
      <c r="B199" s="0" t="n">
        <v>114.7</v>
      </c>
      <c r="C199" s="9" t="n">
        <f aca="false">(B199-B198)/B198</f>
        <v>0.00508236943568172</v>
      </c>
      <c r="D199" s="0" t="n">
        <v>10.75</v>
      </c>
      <c r="E199" s="9" t="n">
        <f aca="false">(D199-D198)/D198</f>
        <v>-0.0700692041522492</v>
      </c>
      <c r="F199" s="0" t="n">
        <v>136.63</v>
      </c>
      <c r="G199" s="9" t="n">
        <f aca="false">(F199-F198)/F198</f>
        <v>0.0119991111769499</v>
      </c>
      <c r="H199" s="0" t="n">
        <f aca="false">AVERAGE(F185:F198)</f>
        <v>129.392142857143</v>
      </c>
      <c r="I199" s="0" t="n">
        <f aca="false">AVERAGE(F192:F198)</f>
        <v>131.932857142857</v>
      </c>
      <c r="J199" s="0" t="n">
        <f aca="false">AVERAGE(F196:F198)</f>
        <v>133.353333333333</v>
      </c>
      <c r="K199" s="10" t="n">
        <v>59.77</v>
      </c>
      <c r="L199" s="9" t="n">
        <f aca="false">(K199-K198)/K198</f>
        <v>-0.0350339037778494</v>
      </c>
      <c r="M199" s="10" t="n">
        <v>57.15</v>
      </c>
      <c r="N199" s="9" t="n">
        <f aca="false">(M199-M198)/M198</f>
        <v>-0.0273995915588836</v>
      </c>
      <c r="O199" s="0" t="n">
        <v>2.2</v>
      </c>
      <c r="P199" s="9" t="n">
        <f aca="false">(O199-O198)/O198</f>
        <v>0.00456621004566241</v>
      </c>
      <c r="Q199" s="10" t="n">
        <v>2.54</v>
      </c>
      <c r="R199" s="9" t="n">
        <f aca="false">(Q199-Q198)/Q198</f>
        <v>0.0717299578059071</v>
      </c>
      <c r="S199" s="10" t="n">
        <v>4.78</v>
      </c>
      <c r="T199" s="9" t="n">
        <f aca="false">(S199-S198)/S198</f>
        <v>0.0346320346320347</v>
      </c>
      <c r="U199" s="13" t="n">
        <v>-0.12</v>
      </c>
      <c r="V199" s="9" t="n">
        <f aca="false">(U199-U198)/U198</f>
        <v>-0.294117647058822</v>
      </c>
      <c r="W199" s="0" t="n">
        <v>1.2514</v>
      </c>
      <c r="X199" s="23" t="n">
        <f aca="false">(W199-W198)/W198</f>
        <v>-0.00690421395127365</v>
      </c>
      <c r="Y199" s="0" t="n">
        <v>1.5935</v>
      </c>
      <c r="Z199" s="24" t="n">
        <f aca="false">(Y199-Y198)/Y198</f>
        <v>0.00314762354422404</v>
      </c>
    </row>
    <row r="200" customFormat="false" ht="13.8" hidden="false" customHeight="false" outlineLevel="0" collapsed="false">
      <c r="A200" s="8" t="n">
        <v>39006</v>
      </c>
      <c r="B200" s="0" t="n">
        <v>113.21</v>
      </c>
      <c r="C200" s="9" t="n">
        <f aca="false">(B200-B199)/B199</f>
        <v>-0.0129904097646034</v>
      </c>
      <c r="D200" s="0" t="n">
        <v>10.63</v>
      </c>
      <c r="E200" s="9" t="n">
        <f aca="false">(D200-D199)/D199</f>
        <v>-0.0111627906976743</v>
      </c>
      <c r="F200" s="0" t="n">
        <v>136.84</v>
      </c>
      <c r="G200" s="9" t="n">
        <f aca="false">(F200-F199)/F199</f>
        <v>0.00153699773109865</v>
      </c>
      <c r="H200" s="0" t="n">
        <f aca="false">AVERAGE(F186:F199)</f>
        <v>130.107857142857</v>
      </c>
      <c r="I200" s="0" t="n">
        <f aca="false">AVERAGE(F193:F199)</f>
        <v>132.907142857143</v>
      </c>
      <c r="J200" s="0" t="n">
        <f aca="false">AVERAGE(F197:F199)</f>
        <v>135.073333333333</v>
      </c>
      <c r="K200" s="10" t="n">
        <v>58.58</v>
      </c>
      <c r="L200" s="9" t="n">
        <f aca="false">(K200-K199)/K199</f>
        <v>-0.019909653672411</v>
      </c>
      <c r="M200" s="10" t="n">
        <v>58.33</v>
      </c>
      <c r="N200" s="9" t="n">
        <f aca="false">(M200-M199)/M199</f>
        <v>0.0206474190726159</v>
      </c>
      <c r="O200" s="0" t="n">
        <v>2.17</v>
      </c>
      <c r="P200" s="9" t="n">
        <f aca="false">(O200-O199)/O199</f>
        <v>-0.0136363636363637</v>
      </c>
      <c r="Q200" s="10" t="n">
        <v>2.58</v>
      </c>
      <c r="R200" s="9" t="n">
        <f aca="false">(Q200-Q199)/Q199</f>
        <v>0.015748031496063</v>
      </c>
      <c r="S200" s="10" t="n">
        <v>4.78</v>
      </c>
      <c r="T200" s="9" t="n">
        <f aca="false">(S200-S199)/S199</f>
        <v>0</v>
      </c>
      <c r="U200" s="13" t="n">
        <v>-0.18</v>
      </c>
      <c r="V200" s="9" t="n">
        <f aca="false">(U200-U199)/U199</f>
        <v>0.499999999999996</v>
      </c>
      <c r="W200" s="0" t="n">
        <v>1.262</v>
      </c>
      <c r="X200" s="23" t="n">
        <f aca="false">(W200-W199)/W199</f>
        <v>0.00847051302541149</v>
      </c>
      <c r="Y200" s="0" t="n">
        <v>1.5882</v>
      </c>
      <c r="Z200" s="24" t="n">
        <f aca="false">(Y200-Y199)/Y199</f>
        <v>-0.00332601192343888</v>
      </c>
    </row>
    <row r="201" customFormat="false" ht="13.8" hidden="false" customHeight="false" outlineLevel="0" collapsed="false">
      <c r="A201" s="8" t="n">
        <v>39013</v>
      </c>
      <c r="B201" s="0" t="n">
        <v>113.52</v>
      </c>
      <c r="C201" s="9" t="n">
        <f aca="false">(B201-B200)/B200</f>
        <v>0.00273827400406327</v>
      </c>
      <c r="D201" s="0" t="n">
        <v>10.8</v>
      </c>
      <c r="E201" s="9" t="n">
        <f aca="false">(D201-D200)/D200</f>
        <v>0.0159924741298213</v>
      </c>
      <c r="F201" s="0" t="n">
        <v>137.91</v>
      </c>
      <c r="G201" s="9" t="n">
        <f aca="false">(F201-F200)/F200</f>
        <v>0.00781935106693944</v>
      </c>
      <c r="H201" s="0" t="n">
        <f aca="false">AVERAGE(F187:F200)</f>
        <v>131.059285714286</v>
      </c>
      <c r="I201" s="0" t="n">
        <f aca="false">AVERAGE(F194:F200)</f>
        <v>133.681428571429</v>
      </c>
      <c r="J201" s="0" t="n">
        <f aca="false">AVERAGE(F198:F200)</f>
        <v>136.16</v>
      </c>
      <c r="K201" s="10" t="n">
        <v>58.48</v>
      </c>
      <c r="L201" s="9" t="n">
        <f aca="false">(K201-K200)/K200</f>
        <v>-0.00170706725845001</v>
      </c>
      <c r="M201" s="10" t="n">
        <v>58.51</v>
      </c>
      <c r="N201" s="9" t="n">
        <f aca="false">(M201-M200)/M200</f>
        <v>0.00308589062232127</v>
      </c>
      <c r="O201" s="0" t="n">
        <v>2.17</v>
      </c>
      <c r="P201" s="9" t="n">
        <f aca="false">(O201-O200)/O200</f>
        <v>0</v>
      </c>
      <c r="Q201" s="10" t="n">
        <v>2.57</v>
      </c>
      <c r="R201" s="9" t="n">
        <f aca="false">(Q201-Q200)/Q200</f>
        <v>-0.00387596899224798</v>
      </c>
      <c r="S201" s="10" t="n">
        <v>4.77</v>
      </c>
      <c r="T201" s="9" t="n">
        <f aca="false">(S201-S200)/S200</f>
        <v>-0.00209205020920516</v>
      </c>
      <c r="U201" s="13" t="n">
        <v>-0.220000000000001</v>
      </c>
      <c r="V201" s="9" t="n">
        <f aca="false">(U201-U200)/U200</f>
        <v>0.222222222222228</v>
      </c>
      <c r="W201" s="0" t="n">
        <v>1.2735</v>
      </c>
      <c r="X201" s="23" t="n">
        <f aca="false">(W201-W200)/W200</f>
        <v>0.00911251980982573</v>
      </c>
      <c r="Y201" s="0" t="n">
        <v>1.59</v>
      </c>
      <c r="Z201" s="24" t="n">
        <f aca="false">(Y201-Y200)/Y200</f>
        <v>0.00113335851907808</v>
      </c>
    </row>
    <row r="202" customFormat="false" ht="13.8" hidden="false" customHeight="false" outlineLevel="0" collapsed="false">
      <c r="A202" s="8" t="n">
        <v>39020</v>
      </c>
      <c r="B202" s="0" t="n">
        <v>112.22</v>
      </c>
      <c r="C202" s="9" t="n">
        <f aca="false">(B202-B201)/B201</f>
        <v>-0.0114517265680056</v>
      </c>
      <c r="D202" s="0" t="n">
        <v>11.16</v>
      </c>
      <c r="E202" s="9" t="n">
        <f aca="false">(D202-D201)/D201</f>
        <v>0.0333333333333333</v>
      </c>
      <c r="F202" s="0" t="n">
        <v>136.54</v>
      </c>
      <c r="G202" s="9" t="n">
        <f aca="false">(F202-F201)/F201</f>
        <v>-0.00993401493727797</v>
      </c>
      <c r="H202" s="0" t="n">
        <f aca="false">AVERAGE(F188:F201)</f>
        <v>132.056428571429</v>
      </c>
      <c r="I202" s="0" t="n">
        <f aca="false">AVERAGE(F195:F201)</f>
        <v>134.771428571429</v>
      </c>
      <c r="J202" s="0" t="n">
        <f aca="false">AVERAGE(F199:F201)</f>
        <v>137.126666666667</v>
      </c>
      <c r="K202" s="10" t="n">
        <v>58.88</v>
      </c>
      <c r="L202" s="9" t="n">
        <f aca="false">(K202-K201)/K201</f>
        <v>0.00683994528043785</v>
      </c>
      <c r="M202" s="10" t="n">
        <v>57.73</v>
      </c>
      <c r="N202" s="9" t="n">
        <f aca="false">(M202-M201)/M201</f>
        <v>-0.0133310545205948</v>
      </c>
      <c r="O202" s="0" t="n">
        <v>2.13</v>
      </c>
      <c r="P202" s="9" t="n">
        <f aca="false">(O202-O201)/O201</f>
        <v>-0.0184331797235027</v>
      </c>
      <c r="Q202" s="10" t="n">
        <v>2.47</v>
      </c>
      <c r="R202" s="9" t="n">
        <f aca="false">(Q202-Q201)/Q201</f>
        <v>-0.0389105058365759</v>
      </c>
      <c r="S202" s="10" t="n">
        <v>4.64</v>
      </c>
      <c r="T202" s="9" t="n">
        <f aca="false">(S202-S201)/S201</f>
        <v>-0.0272536687631027</v>
      </c>
      <c r="U202" s="13" t="n">
        <v>-0.31</v>
      </c>
      <c r="V202" s="9" t="n">
        <f aca="false">(U202-U201)/U201</f>
        <v>0.409090909090907</v>
      </c>
      <c r="W202" s="0" t="n">
        <v>1.2716</v>
      </c>
      <c r="X202" s="23" t="n">
        <f aca="false">(W202-W201)/W201</f>
        <v>-0.00149195131527288</v>
      </c>
      <c r="Y202" s="0" t="n">
        <v>1.5942</v>
      </c>
      <c r="Z202" s="24" t="n">
        <f aca="false">(Y202-Y201)/Y201</f>
        <v>0.00264150943396239</v>
      </c>
    </row>
    <row r="203" customFormat="false" ht="13.8" hidden="false" customHeight="false" outlineLevel="0" collapsed="false">
      <c r="A203" s="8" t="n">
        <v>39027</v>
      </c>
      <c r="B203" s="0" t="n">
        <v>113.91</v>
      </c>
      <c r="C203" s="9" t="n">
        <f aca="false">(B203-B202)/B202</f>
        <v>0.0150597041525575</v>
      </c>
      <c r="D203" s="0" t="n">
        <v>10.79</v>
      </c>
      <c r="E203" s="9" t="n">
        <f aca="false">(D203-D202)/D202</f>
        <v>-0.0331541218637994</v>
      </c>
      <c r="F203" s="0" t="n">
        <v>138.24</v>
      </c>
      <c r="G203" s="9" t="n">
        <f aca="false">(F203-F202)/F202</f>
        <v>0.0124505639373079</v>
      </c>
      <c r="H203" s="0" t="n">
        <f aca="false">AVERAGE(F189:F202)</f>
        <v>132.667857142857</v>
      </c>
      <c r="I203" s="0" t="n">
        <f aca="false">AVERAGE(F196:F202)</f>
        <v>135.425714285714</v>
      </c>
      <c r="J203" s="0" t="n">
        <f aca="false">AVERAGE(F200:F202)</f>
        <v>137.096666666667</v>
      </c>
      <c r="K203" s="10" t="n">
        <v>58.55</v>
      </c>
      <c r="L203" s="9" t="n">
        <f aca="false">(K203-K202)/K202</f>
        <v>-0.00560461956521748</v>
      </c>
      <c r="M203" s="10" t="n">
        <v>56.48</v>
      </c>
      <c r="N203" s="9" t="n">
        <f aca="false">(M203-M202)/M202</f>
        <v>-0.0216525203533691</v>
      </c>
      <c r="O203" s="0" t="n">
        <v>2.2</v>
      </c>
      <c r="P203" s="9" t="n">
        <f aca="false">(O203-O202)/O202</f>
        <v>0.0328638497652586</v>
      </c>
      <c r="Q203" s="10" t="n">
        <v>2.42</v>
      </c>
      <c r="R203" s="9" t="n">
        <f aca="false">(Q203-Q202)/Q202</f>
        <v>-0.0202429149797572</v>
      </c>
      <c r="S203" s="10" t="n">
        <v>4.64</v>
      </c>
      <c r="T203" s="9" t="n">
        <f aca="false">(S203-S202)/S202</f>
        <v>0</v>
      </c>
      <c r="U203" s="13" t="n">
        <v>-0.32</v>
      </c>
      <c r="V203" s="9" t="n">
        <f aca="false">(U203-U202)/U202</f>
        <v>0.0322580645161283</v>
      </c>
      <c r="W203" s="0" t="n">
        <v>1.2849</v>
      </c>
      <c r="X203" s="23" t="n">
        <f aca="false">(W203-W202)/W202</f>
        <v>0.0104592639194714</v>
      </c>
      <c r="Y203" s="0" t="n">
        <v>1.5937</v>
      </c>
      <c r="Z203" s="24" t="n">
        <f aca="false">(Y203-Y202)/Y202</f>
        <v>-0.000313636933885439</v>
      </c>
    </row>
    <row r="204" customFormat="false" ht="13.8" hidden="false" customHeight="false" outlineLevel="0" collapsed="false">
      <c r="A204" s="8" t="n">
        <v>39034</v>
      </c>
      <c r="B204" s="0" t="n">
        <v>114.32</v>
      </c>
      <c r="C204" s="9" t="n">
        <f aca="false">(B204-B203)/B203</f>
        <v>0.00359933280660167</v>
      </c>
      <c r="D204" s="0" t="n">
        <v>10.05</v>
      </c>
      <c r="E204" s="9" t="n">
        <f aca="false">(D204-D203)/D203</f>
        <v>-0.0685820203892492</v>
      </c>
      <c r="F204" s="0" t="n">
        <v>140.42</v>
      </c>
      <c r="G204" s="9" t="n">
        <f aca="false">(F204-F203)/F203</f>
        <v>0.0157696759259258</v>
      </c>
      <c r="H204" s="0" t="n">
        <f aca="false">AVERAGE(F190:F203)</f>
        <v>133.385</v>
      </c>
      <c r="I204" s="0" t="n">
        <f aca="false">AVERAGE(F197:F203)</f>
        <v>136.392857142857</v>
      </c>
      <c r="J204" s="0" t="n">
        <f aca="false">AVERAGE(F201:F203)</f>
        <v>137.563333333333</v>
      </c>
      <c r="K204" s="10" t="n">
        <v>59.96</v>
      </c>
      <c r="L204" s="9" t="n">
        <f aca="false">(K204-K203)/K203</f>
        <v>0.0240819812126388</v>
      </c>
      <c r="M204" s="10" t="n">
        <v>58.02</v>
      </c>
      <c r="N204" s="9" t="n">
        <f aca="false">(M204-M203)/M203</f>
        <v>0.0272662889518415</v>
      </c>
      <c r="O204" s="0" t="n">
        <v>2.15</v>
      </c>
      <c r="P204" s="9" t="n">
        <f aca="false">(O204-O203)/O203</f>
        <v>-0.0227272727272726</v>
      </c>
      <c r="Q204" s="10" t="n">
        <v>2.46</v>
      </c>
      <c r="R204" s="9" t="n">
        <f aca="false">(Q204-Q203)/Q203</f>
        <v>0.0165289256198347</v>
      </c>
      <c r="S204" s="10" t="n">
        <v>4.61</v>
      </c>
      <c r="T204" s="9" t="n">
        <f aca="false">(S204-S203)/S203</f>
        <v>-0.00646551724137917</v>
      </c>
      <c r="U204" s="13" t="n">
        <v>-0.35</v>
      </c>
      <c r="V204" s="9" t="n">
        <f aca="false">(U204-U203)/U203</f>
        <v>0.0937499999999979</v>
      </c>
      <c r="W204" s="0" t="n">
        <v>1.2815</v>
      </c>
      <c r="X204" s="23" t="n">
        <f aca="false">(W204-W203)/W203</f>
        <v>-0.0026461203206474</v>
      </c>
      <c r="Y204" s="0" t="n">
        <v>1.5957</v>
      </c>
      <c r="Z204" s="24" t="n">
        <f aca="false">(Y204-Y203)/Y203</f>
        <v>0.00125494133149275</v>
      </c>
    </row>
    <row r="205" customFormat="false" ht="13.8" hidden="false" customHeight="false" outlineLevel="0" collapsed="false">
      <c r="A205" s="8" t="n">
        <v>39041</v>
      </c>
      <c r="B205" s="0" t="n">
        <v>113.53</v>
      </c>
      <c r="C205" s="9" t="n">
        <f aca="false">(B205-B204)/B204</f>
        <v>-0.00691042687193835</v>
      </c>
      <c r="D205" s="0" t="n">
        <v>10.73</v>
      </c>
      <c r="E205" s="9" t="n">
        <f aca="false">(D205-D204)/D204</f>
        <v>0.0676616915422885</v>
      </c>
      <c r="F205" s="0" t="n">
        <v>140.35</v>
      </c>
      <c r="G205" s="9" t="n">
        <f aca="false">(F205-F204)/F204</f>
        <v>-0.00049850448654033</v>
      </c>
      <c r="H205" s="0" t="n">
        <f aca="false">AVERAGE(F191:F204)</f>
        <v>134.342857142857</v>
      </c>
      <c r="I205" s="0" t="n">
        <f aca="false">AVERAGE(F198:F204)</f>
        <v>137.37</v>
      </c>
      <c r="J205" s="0" t="n">
        <f aca="false">AVERAGE(F202:F204)</f>
        <v>138.4</v>
      </c>
      <c r="K205" s="10" t="n">
        <v>57.56</v>
      </c>
      <c r="L205" s="9" t="n">
        <f aca="false">(K205-K204)/K204</f>
        <v>-0.0400266844563042</v>
      </c>
      <c r="M205" s="10" t="n">
        <v>57.85</v>
      </c>
      <c r="N205" s="9" t="n">
        <f aca="false">(M205-M204)/M204</f>
        <v>-0.00293002412961051</v>
      </c>
      <c r="O205" s="0" t="n">
        <v>2.15</v>
      </c>
      <c r="P205" s="9" t="n">
        <f aca="false">(O205-O204)/O204</f>
        <v>0</v>
      </c>
      <c r="Q205" s="10" t="n">
        <v>2.43</v>
      </c>
      <c r="R205" s="9" t="n">
        <f aca="false">(Q205-Q204)/Q204</f>
        <v>-0.0121951219512194</v>
      </c>
      <c r="S205" s="10" t="n">
        <v>4.58</v>
      </c>
      <c r="T205" s="9" t="n">
        <f aca="false">(S205-S204)/S204</f>
        <v>-0.00650759219088942</v>
      </c>
      <c r="U205" s="13" t="n">
        <v>-0.35</v>
      </c>
      <c r="V205" s="9" t="n">
        <f aca="false">(U205-U204)/U204</f>
        <v>-0</v>
      </c>
      <c r="W205" s="0" t="n">
        <v>1.3086</v>
      </c>
      <c r="X205" s="23" t="n">
        <f aca="false">(W205-W204)/W204</f>
        <v>0.0211470932500975</v>
      </c>
      <c r="Y205" s="0" t="n">
        <v>1.5836</v>
      </c>
      <c r="Z205" s="24" t="n">
        <f aca="false">(Y205-Y204)/Y204</f>
        <v>-0.00758287898727831</v>
      </c>
    </row>
    <row r="206" customFormat="false" ht="13.8" hidden="false" customHeight="false" outlineLevel="0" collapsed="false">
      <c r="A206" s="8" t="n">
        <v>39048</v>
      </c>
      <c r="B206" s="0" t="n">
        <v>112.4</v>
      </c>
      <c r="C206" s="9" t="n">
        <f aca="false">(B206-B205)/B205</f>
        <v>-0.00995331630406056</v>
      </c>
      <c r="D206" s="0" t="n">
        <v>11.66</v>
      </c>
      <c r="E206" s="9" t="n">
        <f aca="false">(D206-D205)/D205</f>
        <v>0.086672879776328</v>
      </c>
      <c r="F206" s="0" t="n">
        <v>140.22</v>
      </c>
      <c r="G206" s="9" t="n">
        <f aca="false">(F206-F205)/F205</f>
        <v>-0.000926255789098649</v>
      </c>
      <c r="H206" s="0" t="n">
        <f aca="false">AVERAGE(F192:F205)</f>
        <v>135.032857142857</v>
      </c>
      <c r="I206" s="0" t="n">
        <f aca="false">AVERAGE(F199:F205)</f>
        <v>138.132857142857</v>
      </c>
      <c r="J206" s="0" t="n">
        <f aca="false">AVERAGE(F203:F205)</f>
        <v>139.67</v>
      </c>
      <c r="K206" s="10" t="n">
        <v>57.24</v>
      </c>
      <c r="L206" s="9" t="n">
        <f aca="false">(K206-K205)/K205</f>
        <v>-0.00555941626129257</v>
      </c>
      <c r="M206" s="10" t="n">
        <v>59.2</v>
      </c>
      <c r="N206" s="9" t="n">
        <f aca="false">(M206-M205)/M205</f>
        <v>0.0233362143474503</v>
      </c>
      <c r="O206" s="0" t="n">
        <v>2.24</v>
      </c>
      <c r="P206" s="9" t="n">
        <f aca="false">(O206-O205)/O205</f>
        <v>0.0418604651162792</v>
      </c>
      <c r="Q206" s="10" t="n">
        <v>2.24</v>
      </c>
      <c r="R206" s="9" t="n">
        <f aca="false">(Q206-Q205)/Q205</f>
        <v>-0.0781893004115226</v>
      </c>
      <c r="S206" s="10" t="n">
        <v>4.49</v>
      </c>
      <c r="T206" s="9" t="n">
        <f aca="false">(S206-S205)/S205</f>
        <v>-0.019650655021834</v>
      </c>
      <c r="U206" s="13" t="n">
        <v>-0.42</v>
      </c>
      <c r="V206" s="9" t="n">
        <f aca="false">(U206-U205)/U205</f>
        <v>0.200000000000001</v>
      </c>
      <c r="W206" s="0" t="n">
        <v>1.3333</v>
      </c>
      <c r="X206" s="23" t="n">
        <f aca="false">(W206-W205)/W205</f>
        <v>0.0188751337307045</v>
      </c>
      <c r="Y206" s="0" t="n">
        <v>1.5905</v>
      </c>
      <c r="Z206" s="24" t="n">
        <f aca="false">(Y206-Y205)/Y205</f>
        <v>0.00435716089921706</v>
      </c>
    </row>
    <row r="207" customFormat="false" ht="13.8" hidden="false" customHeight="false" outlineLevel="0" collapsed="false">
      <c r="A207" s="8" t="n">
        <v>39055</v>
      </c>
      <c r="B207" s="0" t="n">
        <v>114.16</v>
      </c>
      <c r="C207" s="9" t="n">
        <f aca="false">(B207-B206)/B206</f>
        <v>0.0156583629893238</v>
      </c>
      <c r="D207" s="0" t="n">
        <v>12.08</v>
      </c>
      <c r="E207" s="9" t="n">
        <f aca="false">(D207-D206)/D206</f>
        <v>0.0360205831903945</v>
      </c>
      <c r="F207" s="0" t="n">
        <v>141.42</v>
      </c>
      <c r="G207" s="9" t="n">
        <f aca="false">(F207-F206)/F206</f>
        <v>0.00855798031664519</v>
      </c>
      <c r="H207" s="0" t="n">
        <f aca="false">AVERAGE(F193:F206)</f>
        <v>135.776428571429</v>
      </c>
      <c r="I207" s="0" t="n">
        <f aca="false">AVERAGE(F200:F206)</f>
        <v>138.645714285714</v>
      </c>
      <c r="J207" s="0" t="n">
        <f aca="false">AVERAGE(F204:F206)</f>
        <v>140.33</v>
      </c>
      <c r="K207" s="10" t="n">
        <v>62.02</v>
      </c>
      <c r="L207" s="9" t="n">
        <f aca="false">(K207-K206)/K206</f>
        <v>0.083508036338225</v>
      </c>
      <c r="M207" s="10" t="n">
        <v>62.59</v>
      </c>
      <c r="N207" s="9" t="n">
        <f aca="false">(M207-M206)/M206</f>
        <v>0.0572635135135135</v>
      </c>
      <c r="O207" s="0" t="n">
        <v>2.27</v>
      </c>
      <c r="P207" s="9" t="n">
        <f aca="false">(O207-O206)/O206</f>
        <v>0.0133928571428573</v>
      </c>
      <c r="Q207" s="10" t="n">
        <v>2.17</v>
      </c>
      <c r="R207" s="9" t="n">
        <f aca="false">(Q207-Q206)/Q206</f>
        <v>-0.0312500000000001</v>
      </c>
      <c r="S207" s="10" t="n">
        <v>4.48</v>
      </c>
      <c r="T207" s="9" t="n">
        <f aca="false">(S207-S206)/S206</f>
        <v>-0.00222717149220485</v>
      </c>
      <c r="U207" s="13" t="n">
        <v>-0.38</v>
      </c>
      <c r="V207" s="9" t="n">
        <f aca="false">(U207-U206)/U206</f>
        <v>-0.0952380952380952</v>
      </c>
      <c r="W207" s="0" t="n">
        <v>1.3203</v>
      </c>
      <c r="X207" s="23" t="n">
        <f aca="false">(W207-W206)/W206</f>
        <v>-0.00975024375609383</v>
      </c>
      <c r="Y207" s="0" t="n">
        <v>1.5906</v>
      </c>
      <c r="Z207" s="24" t="n">
        <f aca="false">(Y207-Y206)/Y206</f>
        <v>6.28733102797793E-005</v>
      </c>
    </row>
    <row r="208" customFormat="false" ht="13.8" hidden="false" customHeight="false" outlineLevel="0" collapsed="false">
      <c r="A208" s="8" t="n">
        <v>39062</v>
      </c>
      <c r="B208" s="0" t="n">
        <v>117.09</v>
      </c>
      <c r="C208" s="9" t="n">
        <f aca="false">(B208-B207)/B207</f>
        <v>0.0256657323055361</v>
      </c>
      <c r="D208" s="0" t="n">
        <v>10.05</v>
      </c>
      <c r="E208" s="9" t="n">
        <f aca="false">(D208-D207)/D207</f>
        <v>-0.168046357615894</v>
      </c>
      <c r="F208" s="0" t="n">
        <v>142.34</v>
      </c>
      <c r="G208" s="9" t="n">
        <f aca="false">(F208-F207)/F207</f>
        <v>0.00650544477443089</v>
      </c>
      <c r="H208" s="0" t="n">
        <f aca="false">AVERAGE(F194:F207)</f>
        <v>136.490714285714</v>
      </c>
      <c r="I208" s="0" t="n">
        <f aca="false">AVERAGE(F201:F207)</f>
        <v>139.3</v>
      </c>
      <c r="J208" s="0" t="n">
        <f aca="false">AVERAGE(F205:F207)</f>
        <v>140.663333333333</v>
      </c>
      <c r="K208" s="10" t="n">
        <v>62.32</v>
      </c>
      <c r="L208" s="9" t="n">
        <f aca="false">(K208-K207)/K207</f>
        <v>0.00483714930667522</v>
      </c>
      <c r="M208" s="10" t="n">
        <v>63.63</v>
      </c>
      <c r="N208" s="9" t="n">
        <f aca="false">(M208-M207)/M207</f>
        <v>0.0166160728550887</v>
      </c>
      <c r="O208" s="0" t="n">
        <v>2.28</v>
      </c>
      <c r="P208" s="9" t="n">
        <f aca="false">(O208-O207)/O207</f>
        <v>0.00440528634361224</v>
      </c>
      <c r="Q208" s="10" t="n">
        <v>2.25</v>
      </c>
      <c r="R208" s="9" t="n">
        <f aca="false">(Q208-Q207)/Q207</f>
        <v>0.0368663594470046</v>
      </c>
      <c r="S208" s="10" t="n">
        <v>4.56</v>
      </c>
      <c r="T208" s="9" t="n">
        <f aca="false">(S208-S207)/S207</f>
        <v>0.0178571428571427</v>
      </c>
      <c r="U208" s="13" t="n">
        <v>-0.25</v>
      </c>
      <c r="V208" s="9" t="n">
        <f aca="false">(U208-U207)/U207</f>
        <v>-0.342105263157895</v>
      </c>
      <c r="W208" s="0" t="n">
        <v>1.3078</v>
      </c>
      <c r="X208" s="23" t="n">
        <f aca="false">(W208-W207)/W207</f>
        <v>-0.00946754525486629</v>
      </c>
      <c r="Y208" s="0" t="n">
        <v>1.5976</v>
      </c>
      <c r="Z208" s="24" t="n">
        <f aca="false">(Y208-Y207)/Y207</f>
        <v>0.0044008550232616</v>
      </c>
    </row>
    <row r="209" customFormat="false" ht="13.8" hidden="false" customHeight="false" outlineLevel="0" collapsed="false">
      <c r="A209" s="8" t="n">
        <v>39069</v>
      </c>
      <c r="B209" s="0" t="n">
        <v>117.3</v>
      </c>
      <c r="C209" s="9" t="n">
        <f aca="false">(B209-B208)/B208</f>
        <v>0.00179349218549828</v>
      </c>
      <c r="D209" s="0" t="n">
        <v>11.36</v>
      </c>
      <c r="E209" s="9" t="n">
        <f aca="false">(D209-D208)/D208</f>
        <v>0.130348258706468</v>
      </c>
      <c r="F209" s="0" t="n">
        <v>140.75</v>
      </c>
      <c r="G209" s="9" t="n">
        <f aca="false">(F209-F208)/F208</f>
        <v>-0.0111704369818744</v>
      </c>
      <c r="H209" s="0" t="n">
        <f aca="false">AVERAGE(F195:F208)</f>
        <v>137.352142857143</v>
      </c>
      <c r="I209" s="0" t="n">
        <f aca="false">AVERAGE(F202:F208)</f>
        <v>139.932857142857</v>
      </c>
      <c r="J209" s="0" t="n">
        <f aca="false">AVERAGE(F206:F208)</f>
        <v>141.326666666667</v>
      </c>
      <c r="K209" s="10" t="n">
        <v>61.91</v>
      </c>
      <c r="L209" s="9" t="n">
        <f aca="false">(K209-K208)/K208</f>
        <v>-0.00657894736842111</v>
      </c>
      <c r="M209" s="10" t="n">
        <v>62.56</v>
      </c>
      <c r="N209" s="9" t="n">
        <f aca="false">(M209-M208)/M208</f>
        <v>-0.0168159673110168</v>
      </c>
      <c r="O209" s="0" t="n">
        <v>2.21</v>
      </c>
      <c r="P209" s="9" t="n">
        <f aca="false">(O209-O208)/O208</f>
        <v>-0.0307017543859652</v>
      </c>
      <c r="Q209" s="10" t="n">
        <v>2.35</v>
      </c>
      <c r="R209" s="9" t="n">
        <f aca="false">(Q209-Q208)/Q208</f>
        <v>0.0444444444444445</v>
      </c>
      <c r="S209" s="10" t="n">
        <v>4.6</v>
      </c>
      <c r="T209" s="9" t="n">
        <f aca="false">(S209-S208)/S208</f>
        <v>0.00877192982456141</v>
      </c>
      <c r="U209" s="13" t="n">
        <v>-0.24</v>
      </c>
      <c r="V209" s="9" t="n">
        <f aca="false">(U209-U208)/U208</f>
        <v>-0.0399999999999991</v>
      </c>
      <c r="W209" s="0" t="n">
        <v>1.3115</v>
      </c>
      <c r="X209" s="23" t="n">
        <f aca="false">(W209-W208)/W208</f>
        <v>0.0028291787735128</v>
      </c>
      <c r="Y209" s="0" t="n">
        <v>1.603</v>
      </c>
      <c r="Z209" s="24" t="n">
        <f aca="false">(Y209-Y208)/Y208</f>
        <v>0.00338007010515778</v>
      </c>
    </row>
    <row r="210" customFormat="false" ht="13.8" hidden="false" customHeight="false" outlineLevel="0" collapsed="false">
      <c r="A210" s="8" t="n">
        <v>39077</v>
      </c>
      <c r="B210" s="0" t="n">
        <v>117.52</v>
      </c>
      <c r="C210" s="9" t="n">
        <f aca="false">(B210-B209)/B209</f>
        <v>0.00187553282182437</v>
      </c>
      <c r="D210" s="0" t="n">
        <v>11.56</v>
      </c>
      <c r="E210" s="9" t="n">
        <f aca="false">(D210-D209)/D209</f>
        <v>0.017605633802817</v>
      </c>
      <c r="F210" s="0" t="n">
        <v>141.62</v>
      </c>
      <c r="G210" s="9" t="n">
        <f aca="false">(F210-F209)/F209</f>
        <v>0.00618117229129666</v>
      </c>
      <c r="H210" s="0" t="n">
        <f aca="false">AVERAGE(F196:F209)</f>
        <v>137.98</v>
      </c>
      <c r="I210" s="0" t="n">
        <f aca="false">AVERAGE(F203:F209)</f>
        <v>140.534285714286</v>
      </c>
      <c r="J210" s="0" t="n">
        <f aca="false">AVERAGE(F207:F209)</f>
        <v>141.503333333333</v>
      </c>
      <c r="K210" s="10" t="n">
        <v>62.4</v>
      </c>
      <c r="L210" s="9" t="n">
        <f aca="false">(K210-K209)/K209</f>
        <v>0.00791471490873852</v>
      </c>
      <c r="M210" s="10" t="n">
        <v>62.44</v>
      </c>
      <c r="N210" s="9" t="n">
        <f aca="false">(M210-M209)/M209</f>
        <v>-0.00191815856777501</v>
      </c>
      <c r="O210" s="0" t="n">
        <v>2.22</v>
      </c>
      <c r="P210" s="9" t="n">
        <f aca="false">(O210-O209)/O209</f>
        <v>0.00452488687782836</v>
      </c>
      <c r="Q210" s="10" t="n">
        <v>2.43</v>
      </c>
      <c r="R210" s="9" t="n">
        <f aca="false">(Q210-Q209)/Q209</f>
        <v>0.0340425531914894</v>
      </c>
      <c r="S210" s="10" t="n">
        <v>4.67</v>
      </c>
      <c r="T210" s="9" t="n">
        <f aca="false">(S210-S209)/S209</f>
        <v>0.0152173913043479</v>
      </c>
      <c r="U210" s="13" t="n">
        <v>-0.2</v>
      </c>
      <c r="V210" s="9" t="n">
        <f aca="false">(U210-U209)/U209</f>
        <v>-0.166666666666667</v>
      </c>
      <c r="W210" s="0" t="n">
        <v>1.3191</v>
      </c>
      <c r="X210" s="23" t="n">
        <f aca="false">(W210-W209)/W209</f>
        <v>0.00579489134578714</v>
      </c>
      <c r="Y210" s="0" t="n">
        <v>1.6088</v>
      </c>
      <c r="Z210" s="24" t="n">
        <f aca="false">(Y210-Y209)/Y209</f>
        <v>0.0036182158452901</v>
      </c>
    </row>
    <row r="211" customFormat="false" ht="13.8" hidden="false" customHeight="false" outlineLevel="0" collapsed="false">
      <c r="A211" s="8" t="n">
        <v>39085</v>
      </c>
      <c r="B211" s="0" t="n">
        <v>116.64</v>
      </c>
      <c r="C211" s="9" t="n">
        <f aca="false">(B211-B210)/B210</f>
        <v>-0.0074880871341048</v>
      </c>
      <c r="D211" s="0" t="n">
        <v>12.14</v>
      </c>
      <c r="E211" s="9" t="n">
        <f aca="false">(D211-D210)/D210</f>
        <v>0.0501730103806228</v>
      </c>
      <c r="F211" s="0" t="n">
        <v>140.54</v>
      </c>
      <c r="G211" s="9" t="n">
        <f aca="false">(F211-F210)/F210</f>
        <v>-0.00762604151955947</v>
      </c>
      <c r="H211" s="0" t="n">
        <f aca="false">AVERAGE(F197:F210)</f>
        <v>138.705</v>
      </c>
      <c r="I211" s="0" t="n">
        <f aca="false">AVERAGE(F204:F210)</f>
        <v>141.017142857143</v>
      </c>
      <c r="J211" s="0" t="n">
        <f aca="false">AVERAGE(F208:F210)</f>
        <v>141.57</v>
      </c>
      <c r="K211" s="10" t="n">
        <v>60.66</v>
      </c>
      <c r="L211" s="9" t="n">
        <f aca="false">(K211-K210)/K210</f>
        <v>-0.0278846153846154</v>
      </c>
      <c r="M211" s="10" t="n">
        <v>59.69</v>
      </c>
      <c r="N211" s="9" t="n">
        <v>0</v>
      </c>
      <c r="O211" s="0" t="n">
        <v>2.25</v>
      </c>
      <c r="P211" s="9" t="n">
        <f aca="false">(O211-O210)/O210</f>
        <v>0.0135135135135136</v>
      </c>
      <c r="Q211" s="10" t="n">
        <v>2.4</v>
      </c>
      <c r="R211" s="9" t="n">
        <f aca="false">(Q211-Q210)/Q210</f>
        <v>-0.0123456790123458</v>
      </c>
      <c r="S211" s="10" t="n">
        <v>4.66</v>
      </c>
      <c r="T211" s="9" t="n">
        <f aca="false">(S211-S210)/S210</f>
        <v>-0.00214132762312629</v>
      </c>
      <c r="U211" s="13" t="n">
        <v>-0.26</v>
      </c>
      <c r="V211" s="9" t="n">
        <f aca="false">(U211-U210)/U210</f>
        <v>0.299999999999998</v>
      </c>
      <c r="W211" s="0" t="n">
        <v>1.4587</v>
      </c>
      <c r="X211" s="23" t="n">
        <f aca="false">(W211-W210)/W210</f>
        <v>0.105829732393299</v>
      </c>
      <c r="Y211" s="0" t="n">
        <v>1.6559</v>
      </c>
      <c r="Z211" s="24" t="n">
        <f aca="false">(Y211-Y210)/Y210</f>
        <v>0.0292764793635007</v>
      </c>
    </row>
    <row r="212" customFormat="false" ht="13.8" hidden="false" customHeight="false" outlineLevel="0" collapsed="false">
      <c r="A212" s="8" t="n">
        <v>39090</v>
      </c>
      <c r="B212" s="0" t="n">
        <v>117</v>
      </c>
      <c r="C212" s="9" t="n">
        <f aca="false">(B212-B211)/B211</f>
        <v>0.00308641975308641</v>
      </c>
      <c r="D212" s="0" t="n">
        <v>10.15</v>
      </c>
      <c r="E212" s="9" t="n">
        <f aca="false">(D212-D211)/D211</f>
        <v>-0.163920922570016</v>
      </c>
      <c r="F212" s="0" t="n">
        <v>143.24</v>
      </c>
      <c r="G212" s="9" t="n">
        <f aca="false">(F212-F211)/F211</f>
        <v>0.0192116123523553</v>
      </c>
      <c r="H212" s="0" t="n">
        <f aca="false">AVERAGE(F198:F211)</f>
        <v>139.202142857143</v>
      </c>
      <c r="I212" s="0" t="n">
        <f aca="false">AVERAGE(F205:F211)</f>
        <v>141.034285714286</v>
      </c>
      <c r="J212" s="0" t="n">
        <f aca="false">AVERAGE(F209:F211)</f>
        <v>140.97</v>
      </c>
      <c r="K212" s="10" t="n">
        <v>57.76</v>
      </c>
      <c r="L212" s="9" t="n">
        <f aca="false">(K212-K211)/K211</f>
        <v>-0.0478074513682822</v>
      </c>
      <c r="M212" s="10" t="n">
        <v>55.63</v>
      </c>
      <c r="N212" s="9" t="n">
        <f aca="false">(M212-M211)/M211</f>
        <v>-0.0680180934829954</v>
      </c>
      <c r="O212" s="0" t="n">
        <v>2.23</v>
      </c>
      <c r="P212" s="9" t="n">
        <f aca="false">(O212-O211)/O211</f>
        <v>-0.00888888888888909</v>
      </c>
      <c r="Q212" s="10" t="n">
        <v>2.47</v>
      </c>
      <c r="R212" s="9" t="n">
        <f aca="false">(Q212-Q211)/Q211</f>
        <v>0.0291666666666668</v>
      </c>
      <c r="S212" s="10" t="n">
        <v>4.7</v>
      </c>
      <c r="T212" s="9" t="n">
        <f aca="false">(S212-S211)/S211</f>
        <v>0.00858369098712447</v>
      </c>
      <c r="U212" s="13" t="n">
        <v>-0.26</v>
      </c>
      <c r="V212" s="9" t="n">
        <f aca="false">(U212-U211)/U211</f>
        <v>-0</v>
      </c>
      <c r="W212" s="0" t="n">
        <v>1.2921</v>
      </c>
      <c r="X212" s="23" t="n">
        <f aca="false">(W212-W211)/W211</f>
        <v>-0.114211284020018</v>
      </c>
      <c r="Y212" s="0" t="n">
        <v>1.6133</v>
      </c>
      <c r="Z212" s="24" t="n">
        <f aca="false">(Y212-Y211)/Y211</f>
        <v>-0.0257261911951203</v>
      </c>
    </row>
    <row r="213" customFormat="false" ht="13.8" hidden="false" customHeight="false" outlineLevel="0" collapsed="false">
      <c r="A213" s="8" t="n">
        <v>39098</v>
      </c>
      <c r="B213" s="0" t="n">
        <v>117.16</v>
      </c>
      <c r="C213" s="9" t="n">
        <f aca="false">(B213-B212)/B212</f>
        <v>0.00136752136752134</v>
      </c>
      <c r="D213" s="0" t="n">
        <v>10.4</v>
      </c>
      <c r="E213" s="9" t="n">
        <f aca="false">(D213-D212)/D212</f>
        <v>0.0246305418719212</v>
      </c>
      <c r="F213" s="0" t="n">
        <v>142.82</v>
      </c>
      <c r="G213" s="9" t="n">
        <f aca="false">(F213-F212)/F212</f>
        <v>-0.0029321418598158</v>
      </c>
      <c r="H213" s="0" t="n">
        <f aca="false">AVERAGE(F199:F212)</f>
        <v>139.79</v>
      </c>
      <c r="I213" s="0" t="n">
        <f aca="false">AVERAGE(F206:F212)</f>
        <v>141.447142857143</v>
      </c>
      <c r="J213" s="0" t="n">
        <f aca="false">AVERAGE(F210:F212)</f>
        <v>141.8</v>
      </c>
      <c r="K213" s="10" t="n">
        <v>54.11</v>
      </c>
      <c r="L213" s="9" t="n">
        <f aca="false">(K213-K212)/K212</f>
        <v>-0.0631925207756233</v>
      </c>
      <c r="M213" s="10" t="n">
        <v>51.79</v>
      </c>
      <c r="N213" s="9" t="n">
        <f aca="false">(M213-M212)/M212</f>
        <v>-0.0690275031457847</v>
      </c>
      <c r="O213" s="0" t="n">
        <v>2.23</v>
      </c>
      <c r="P213" s="9" t="n">
        <f aca="false">(O213-O212)/O212</f>
        <v>0</v>
      </c>
      <c r="Q213" s="10" t="n">
        <v>2.53</v>
      </c>
      <c r="R213" s="9" t="n">
        <f aca="false">(Q213-Q212)/Q212</f>
        <v>0.0242914979757083</v>
      </c>
      <c r="S213" s="10" t="n">
        <v>4.77</v>
      </c>
      <c r="T213" s="9" t="n">
        <f aca="false">(S213-S212)/S212</f>
        <v>0.0148936170212765</v>
      </c>
      <c r="U213" s="13" t="n">
        <v>-0.220000000000001</v>
      </c>
      <c r="V213" s="9" t="n">
        <f aca="false">(U213-U212)/U212</f>
        <v>-0.153846153846151</v>
      </c>
      <c r="W213" s="0" t="n">
        <v>1.2963</v>
      </c>
      <c r="X213" s="23" t="n">
        <f aca="false">(W213-W212)/W212</f>
        <v>0.00325052240538657</v>
      </c>
      <c r="Y213" s="0" t="n">
        <v>1.6177</v>
      </c>
      <c r="Z213" s="24" t="n">
        <f aca="false">(Y213-Y212)/Y212</f>
        <v>0.00272732907704688</v>
      </c>
    </row>
    <row r="214" customFormat="false" ht="13.8" hidden="false" customHeight="false" outlineLevel="0" collapsed="false">
      <c r="A214" s="8" t="n">
        <v>39104</v>
      </c>
      <c r="B214" s="0" t="n">
        <v>116.99</v>
      </c>
      <c r="C214" s="9" t="n">
        <f aca="false">(B214-B213)/B213</f>
        <v>-0.0014510071696825</v>
      </c>
      <c r="D214" s="0" t="n">
        <v>11.13</v>
      </c>
      <c r="E214" s="9" t="n">
        <f aca="false">(D214-D213)/D213</f>
        <v>0.0701923076923077</v>
      </c>
      <c r="F214" s="0" t="n">
        <v>142.13</v>
      </c>
      <c r="G214" s="9" t="n">
        <f aca="false">(F214-F213)/F213</f>
        <v>-0.0048312561265929</v>
      </c>
      <c r="H214" s="0" t="n">
        <f aca="false">AVERAGE(F200:F213)</f>
        <v>140.232142857143</v>
      </c>
      <c r="I214" s="0" t="n">
        <f aca="false">AVERAGE(F207:F213)</f>
        <v>141.818571428571</v>
      </c>
      <c r="J214" s="0" t="n">
        <f aca="false">AVERAGE(F211:F213)</f>
        <v>142.2</v>
      </c>
      <c r="K214" s="10" t="n">
        <v>51.51</v>
      </c>
      <c r="L214" s="9" t="n">
        <f aca="false">(K214-K213)/K213</f>
        <v>-0.0480502679726483</v>
      </c>
      <c r="M214" s="10" t="n">
        <v>51.4</v>
      </c>
      <c r="N214" s="9" t="n">
        <f aca="false">(M214-M213)/M213</f>
        <v>-0.00753041127630818</v>
      </c>
      <c r="O214" s="0" t="n">
        <v>2.32</v>
      </c>
      <c r="P214" s="9" t="n">
        <f aca="false">(O214-O213)/O213</f>
        <v>0.040358744394619</v>
      </c>
      <c r="Q214" s="10" t="n">
        <v>2.5</v>
      </c>
      <c r="R214" s="9" t="n">
        <f aca="false">(Q214-Q213)/Q213</f>
        <v>-0.0118577075098813</v>
      </c>
      <c r="S214" s="10" t="n">
        <v>4.83</v>
      </c>
      <c r="T214" s="9" t="n">
        <f aca="false">(S214-S213)/S213</f>
        <v>0.0125786163522014</v>
      </c>
      <c r="U214" s="13" t="n">
        <v>-0.17</v>
      </c>
      <c r="V214" s="9" t="n">
        <f aca="false">(U214-U213)/U213</f>
        <v>-0.22727272727273</v>
      </c>
      <c r="W214" s="0" t="n">
        <v>1.2911</v>
      </c>
      <c r="X214" s="23" t="n">
        <f aca="false">(W214-W213)/W213</f>
        <v>-0.0040114171102369</v>
      </c>
      <c r="Y214" s="0" t="n">
        <v>1.619</v>
      </c>
      <c r="Z214" s="24" t="n">
        <f aca="false">(Y214-Y213)/Y213</f>
        <v>0.000803610063670692</v>
      </c>
    </row>
    <row r="215" customFormat="false" ht="13.8" hidden="false" customHeight="false" outlineLevel="0" collapsed="false">
      <c r="A215" s="8" t="n">
        <v>39111</v>
      </c>
      <c r="B215" s="0" t="n">
        <v>118.55</v>
      </c>
      <c r="C215" s="9" t="n">
        <f aca="false">(B215-B214)/B214</f>
        <v>0.0133344730318831</v>
      </c>
      <c r="D215" s="0" t="n">
        <v>10.08</v>
      </c>
      <c r="E215" s="9" t="n">
        <f aca="false">(D215-D214)/D214</f>
        <v>-0.0943396226415095</v>
      </c>
      <c r="F215" s="0" t="n">
        <v>144.81</v>
      </c>
      <c r="G215" s="9" t="n">
        <f aca="false">(F215-F214)/F214</f>
        <v>0.0188559769225358</v>
      </c>
      <c r="H215" s="0" t="n">
        <f aca="false">AVERAGE(F201:F214)</f>
        <v>140.61</v>
      </c>
      <c r="I215" s="0" t="n">
        <f aca="false">AVERAGE(F208:F214)</f>
        <v>141.92</v>
      </c>
      <c r="J215" s="0" t="n">
        <f aca="false">AVERAGE(F212:F214)</f>
        <v>142.73</v>
      </c>
      <c r="K215" s="10" t="n">
        <v>53.57</v>
      </c>
      <c r="L215" s="9" t="n">
        <f aca="false">(K215-K214)/K214</f>
        <v>0.0399922345175694</v>
      </c>
      <c r="M215" s="10" t="n">
        <v>54.87</v>
      </c>
      <c r="N215" s="9" t="n">
        <f aca="false">(M215-M214)/M214</f>
        <v>0.0675097276264591</v>
      </c>
      <c r="O215" s="0" t="n">
        <v>2.41</v>
      </c>
      <c r="P215" s="9" t="n">
        <f aca="false">(O215-O214)/O214</f>
        <v>0.0387931034482756</v>
      </c>
      <c r="Q215" s="10" t="n">
        <v>2.44</v>
      </c>
      <c r="R215" s="9" t="n">
        <f aca="false">(Q215-Q214)/Q214</f>
        <v>-0.024</v>
      </c>
      <c r="S215" s="10" t="n">
        <v>4.86</v>
      </c>
      <c r="T215" s="9" t="n">
        <f aca="false">(S215-S214)/S214</f>
        <v>0.00621118012422365</v>
      </c>
      <c r="U215" s="13" t="n">
        <v>-0.14</v>
      </c>
      <c r="V215" s="9" t="n">
        <f aca="false">(U215-U214)/U214</f>
        <v>-0.176470588235296</v>
      </c>
      <c r="W215" s="0" t="n">
        <v>1.2966</v>
      </c>
      <c r="X215" s="23" t="n">
        <f aca="false">(W215-W214)/W214</f>
        <v>0.00425993339013249</v>
      </c>
      <c r="Y215" s="0" t="n">
        <v>1.6172</v>
      </c>
      <c r="Z215" s="24" t="n">
        <f aca="false">(Y215-Y214)/Y214</f>
        <v>-0.00111179740580607</v>
      </c>
    </row>
    <row r="216" customFormat="false" ht="13.8" hidden="false" customHeight="false" outlineLevel="0" collapsed="false">
      <c r="A216" s="8" t="n">
        <v>39118</v>
      </c>
      <c r="B216" s="0" t="n">
        <v>118.18</v>
      </c>
      <c r="C216" s="9" t="n">
        <f aca="false">(B216-B215)/B215</f>
        <v>-0.00312104597216356</v>
      </c>
      <c r="D216" s="0" t="n">
        <v>11.1</v>
      </c>
      <c r="E216" s="9" t="n">
        <f aca="false">(D216-D215)/D215</f>
        <v>0.101190476190476</v>
      </c>
      <c r="F216" s="0" t="n">
        <v>143.94</v>
      </c>
      <c r="G216" s="9" t="n">
        <f aca="false">(F216-F215)/F215</f>
        <v>-0.00600787238450386</v>
      </c>
      <c r="H216" s="0" t="n">
        <f aca="false">AVERAGE(F202:F215)</f>
        <v>141.102857142857</v>
      </c>
      <c r="I216" s="0" t="n">
        <f aca="false">AVERAGE(F209:F215)</f>
        <v>142.272857142857</v>
      </c>
      <c r="J216" s="0" t="n">
        <f aca="false">AVERAGE(F213:F215)</f>
        <v>143.253333333333</v>
      </c>
      <c r="K216" s="10" t="n">
        <v>57.11</v>
      </c>
      <c r="L216" s="9" t="n">
        <f aca="false">(K216-K215)/K215</f>
        <v>0.0660817621803248</v>
      </c>
      <c r="M216" s="10" t="n">
        <v>55.92</v>
      </c>
      <c r="N216" s="9" t="n">
        <f aca="false">(M216-M215)/M215</f>
        <v>0.0191361399671953</v>
      </c>
      <c r="O216" s="0" t="n">
        <v>2.37</v>
      </c>
      <c r="P216" s="9" t="n">
        <f aca="false">(O216-O215)/O215</f>
        <v>-0.016597510373444</v>
      </c>
      <c r="Q216" s="10" t="n">
        <v>2.39</v>
      </c>
      <c r="R216" s="9" t="n">
        <f aca="false">(Q216-Q215)/Q215</f>
        <v>-0.0204918032786885</v>
      </c>
      <c r="S216" s="10" t="n">
        <v>4.77</v>
      </c>
      <c r="T216" s="9" t="n">
        <f aca="false">(S216-S215)/S215</f>
        <v>-0.0185185185185187</v>
      </c>
      <c r="U216" s="13" t="n">
        <v>-0.25</v>
      </c>
      <c r="V216" s="9" t="n">
        <f aca="false">(U216-U215)/U215</f>
        <v>0.78571428571429</v>
      </c>
      <c r="W216" s="0" t="n">
        <v>1.3005</v>
      </c>
      <c r="X216" s="23" t="n">
        <f aca="false">(W216-W215)/W215</f>
        <v>0.00300786672836651</v>
      </c>
      <c r="Y216" s="0" t="n">
        <v>1.6232</v>
      </c>
      <c r="Z216" s="24" t="n">
        <f aca="false">(Y216-Y215)/Y215</f>
        <v>0.00371011625030918</v>
      </c>
    </row>
    <row r="217" customFormat="false" ht="13.8" hidden="false" customHeight="false" outlineLevel="0" collapsed="false">
      <c r="A217" s="8" t="n">
        <v>39125</v>
      </c>
      <c r="B217" s="0" t="n">
        <v>120.52</v>
      </c>
      <c r="C217" s="9" t="n">
        <f aca="false">(B217-B216)/B216</f>
        <v>0.019800304620071</v>
      </c>
      <c r="D217" s="0" t="n">
        <v>10.02</v>
      </c>
      <c r="E217" s="9" t="n">
        <f aca="false">(D217-D216)/D216</f>
        <v>-0.0972972972972973</v>
      </c>
      <c r="F217" s="0" t="n">
        <v>145.73</v>
      </c>
      <c r="G217" s="9" t="n">
        <f aca="false">(F217-F216)/F216</f>
        <v>0.0124357371126858</v>
      </c>
      <c r="H217" s="0" t="n">
        <f aca="false">AVERAGE(F203:F216)</f>
        <v>141.631428571429</v>
      </c>
      <c r="I217" s="0" t="n">
        <f aca="false">AVERAGE(F210:F216)</f>
        <v>142.728571428571</v>
      </c>
      <c r="J217" s="0" t="n">
        <f aca="false">AVERAGE(F214:F216)</f>
        <v>143.626666666667</v>
      </c>
      <c r="K217" s="10" t="n">
        <v>58.99</v>
      </c>
      <c r="L217" s="9" t="n">
        <f aca="false">(K217-K216)/K216</f>
        <v>0.0329189283838207</v>
      </c>
      <c r="M217" s="10" t="n">
        <v>57.9</v>
      </c>
      <c r="N217" s="9" t="n">
        <f aca="false">(M217-M216)/M216</f>
        <v>0.0354077253218884</v>
      </c>
      <c r="O217" s="0" t="n">
        <v>2.33</v>
      </c>
      <c r="P217" s="9" t="n">
        <f aca="false">(O217-O216)/O216</f>
        <v>-0.0168776371308015</v>
      </c>
      <c r="Q217" s="10" t="n">
        <v>2.41</v>
      </c>
      <c r="R217" s="9" t="n">
        <f aca="false">(Q217-Q216)/Q216</f>
        <v>0.00836820083682009</v>
      </c>
      <c r="S217" s="10" t="n">
        <v>4.75</v>
      </c>
      <c r="T217" s="9" t="n">
        <f aca="false">(S217-S216)/S216</f>
        <v>-0.00419287211740033</v>
      </c>
      <c r="U217" s="13" t="n">
        <v>-0.28</v>
      </c>
      <c r="V217" s="9" t="n">
        <f aca="false">(U217-U216)/U216</f>
        <v>0.120000000000001</v>
      </c>
      <c r="W217" s="0" t="n">
        <v>1.3134</v>
      </c>
      <c r="X217" s="23" t="n">
        <f aca="false">(W217-W216)/W216</f>
        <v>0.00991926182237594</v>
      </c>
      <c r="Y217" s="0" t="n">
        <v>1.6208</v>
      </c>
      <c r="Z217" s="24" t="n">
        <f aca="false">(Y217-Y216)/Y216</f>
        <v>-0.00147856086742235</v>
      </c>
    </row>
    <row r="218" customFormat="false" ht="13.8" hidden="false" customHeight="false" outlineLevel="0" collapsed="false">
      <c r="A218" s="8" t="n">
        <v>39133</v>
      </c>
      <c r="B218" s="0" t="n">
        <v>119.61</v>
      </c>
      <c r="C218" s="9" t="n">
        <f aca="false">(B218-B217)/B217</f>
        <v>-0.00755061400597408</v>
      </c>
      <c r="D218" s="0" t="n">
        <v>10.58</v>
      </c>
      <c r="E218" s="9" t="n">
        <f aca="false">(D218-D217)/D217</f>
        <v>0.0558882235528943</v>
      </c>
      <c r="F218" s="0" t="n">
        <v>145.3</v>
      </c>
      <c r="G218" s="9" t="n">
        <f aca="false">(F218-F217)/F217</f>
        <v>-0.00295066218348987</v>
      </c>
      <c r="H218" s="0" t="n">
        <f aca="false">AVERAGE(F204:F217)</f>
        <v>142.166428571429</v>
      </c>
      <c r="I218" s="0" t="n">
        <f aca="false">AVERAGE(F211:F217)</f>
        <v>143.315714285714</v>
      </c>
      <c r="J218" s="0" t="n">
        <f aca="false">AVERAGE(F215:F217)</f>
        <v>144.826666666667</v>
      </c>
      <c r="K218" s="10" t="n">
        <v>58.41</v>
      </c>
      <c r="L218" s="9" t="n">
        <f aca="false">(K218-K217)/K217</f>
        <v>-0.00983217494490601</v>
      </c>
      <c r="M218" s="10" t="n">
        <v>55.54</v>
      </c>
      <c r="N218" s="9" t="n">
        <f aca="false">(M218-M217)/M217</f>
        <v>-0.0407599309153713</v>
      </c>
      <c r="O218" s="0" t="n">
        <v>2.37</v>
      </c>
      <c r="P218" s="9" t="n">
        <f aca="false">(O218-O217)/O217</f>
        <v>0.0171673819742491</v>
      </c>
      <c r="Q218" s="10" t="n">
        <v>2.32</v>
      </c>
      <c r="R218" s="9" t="n">
        <f aca="false">(Q218-Q217)/Q217</f>
        <v>-0.0373443983402491</v>
      </c>
      <c r="S218" s="10" t="n">
        <v>4.7</v>
      </c>
      <c r="T218" s="9" t="n">
        <f aca="false">(S218-S217)/S217</f>
        <v>-0.0105263157894736</v>
      </c>
      <c r="U218" s="13" t="n">
        <v>-0.35</v>
      </c>
      <c r="V218" s="9" t="n">
        <f aca="false">(U218-U217)/U217</f>
        <v>0.249999999999998</v>
      </c>
      <c r="W218" s="0" t="n">
        <v>1.3162</v>
      </c>
      <c r="X218" s="23" t="n">
        <f aca="false">(W218-W217)/W217</f>
        <v>0.00213187147860525</v>
      </c>
      <c r="Y218" s="0" t="n">
        <v>1.6232</v>
      </c>
      <c r="Z218" s="24" t="n">
        <f aca="false">(Y218-Y217)/Y217</f>
        <v>0.00148075024679168</v>
      </c>
    </row>
    <row r="219" customFormat="false" ht="13.8" hidden="false" customHeight="false" outlineLevel="0" collapsed="false">
      <c r="A219" s="8" t="n">
        <v>39139</v>
      </c>
      <c r="B219" s="0" t="n">
        <v>114.36</v>
      </c>
      <c r="C219" s="9" t="n">
        <f aca="false">(B219-B218)/B218</f>
        <v>-0.0438926511161274</v>
      </c>
      <c r="D219" s="0" t="n">
        <v>18.61</v>
      </c>
      <c r="E219" s="9" t="n">
        <f aca="false">(D219-D218)/D218</f>
        <v>0.758979206049149</v>
      </c>
      <c r="F219" s="0" t="n">
        <v>138.67</v>
      </c>
      <c r="G219" s="9" t="n">
        <f aca="false">(F219-F218)/F218</f>
        <v>-0.0456297315898143</v>
      </c>
      <c r="H219" s="0" t="n">
        <f aca="false">AVERAGE(F205:F218)</f>
        <v>142.515</v>
      </c>
      <c r="I219" s="0" t="n">
        <f aca="false">AVERAGE(F212:F218)</f>
        <v>143.995714285714</v>
      </c>
      <c r="J219" s="0" t="n">
        <f aca="false">AVERAGE(F216:F218)</f>
        <v>144.99</v>
      </c>
      <c r="K219" s="10" t="n">
        <v>59.57</v>
      </c>
      <c r="L219" s="9" t="n">
        <f aca="false">(K219-K218)/K218</f>
        <v>0.0198596130799521</v>
      </c>
      <c r="M219" s="10" t="n">
        <v>58.16</v>
      </c>
      <c r="N219" s="9" t="n">
        <f aca="false">(M219-M218)/M218</f>
        <v>0.0471732084983795</v>
      </c>
      <c r="O219" s="0" t="n">
        <v>2.4</v>
      </c>
      <c r="P219" s="9" t="n">
        <f aca="false">(O219-O218)/O218</f>
        <v>0.012658227848101</v>
      </c>
      <c r="Q219" s="10" t="n">
        <v>2.11</v>
      </c>
      <c r="R219" s="9" t="n">
        <f aca="false">(Q219-Q218)/Q218</f>
        <v>-0.0905172413793103</v>
      </c>
      <c r="S219" s="10" t="n">
        <v>4.55</v>
      </c>
      <c r="T219" s="9" t="n">
        <f aca="false">(S219-S218)/S218</f>
        <v>-0.0319148936170214</v>
      </c>
      <c r="U219" s="13" t="n">
        <v>-0.46</v>
      </c>
      <c r="V219" s="9" t="n">
        <f aca="false">(U219-U218)/U218</f>
        <v>0.314285714285716</v>
      </c>
      <c r="W219" s="0" t="n">
        <v>1.319</v>
      </c>
      <c r="X219" s="23" t="n">
        <f aca="false">(W219-W218)/W218</f>
        <v>0.00212733627108336</v>
      </c>
      <c r="Y219" s="0" t="n">
        <v>1.6048</v>
      </c>
      <c r="Z219" s="24" t="n">
        <f aca="false">(Y219-Y218)/Y218</f>
        <v>-0.0113356333169049</v>
      </c>
    </row>
    <row r="220" customFormat="false" ht="13.8" hidden="false" customHeight="false" outlineLevel="0" collapsed="false">
      <c r="A220" s="8" t="n">
        <v>39146</v>
      </c>
      <c r="B220" s="0" t="n">
        <v>114.57</v>
      </c>
      <c r="C220" s="9" t="n">
        <f aca="false">(B220-B219)/B219</f>
        <v>0.0018363064008394</v>
      </c>
      <c r="D220" s="0" t="n">
        <v>14.09</v>
      </c>
      <c r="E220" s="9" t="n">
        <f aca="false">(D220-D219)/D219</f>
        <v>-0.242880171950564</v>
      </c>
      <c r="F220" s="0" t="n">
        <v>140.78</v>
      </c>
      <c r="G220" s="9" t="n">
        <f aca="false">(F220-F219)/F219</f>
        <v>0.015215980385087</v>
      </c>
      <c r="H220" s="0" t="n">
        <f aca="false">AVERAGE(F206:F219)</f>
        <v>142.395</v>
      </c>
      <c r="I220" s="0" t="n">
        <f aca="false">AVERAGE(F213:F219)</f>
        <v>143.342857142857</v>
      </c>
      <c r="J220" s="0" t="n">
        <f aca="false">AVERAGE(F217:F219)</f>
        <v>143.233333333333</v>
      </c>
      <c r="K220" s="10" t="n">
        <v>61.64</v>
      </c>
      <c r="L220" s="9" t="n">
        <f aca="false">(K220-K219)/K219</f>
        <v>0.0347490347490348</v>
      </c>
      <c r="M220" s="10" t="n">
        <v>60.62</v>
      </c>
      <c r="N220" s="9" t="n">
        <f aca="false">(M220-M219)/M219</f>
        <v>0.0422971114167813</v>
      </c>
      <c r="O220" s="0" t="n">
        <v>2.4</v>
      </c>
      <c r="P220" s="9" t="n">
        <f aca="false">(O220-O219)/O219</f>
        <v>0</v>
      </c>
      <c r="Q220" s="10" t="n">
        <v>2.08</v>
      </c>
      <c r="R220" s="9" t="n">
        <f aca="false">(Q220-Q219)/Q219</f>
        <v>-0.0142180094786729</v>
      </c>
      <c r="S220" s="10" t="n">
        <v>4.53</v>
      </c>
      <c r="T220" s="9" t="n">
        <f aca="false">(S220-S219)/S219</f>
        <v>-0.0043956043956043</v>
      </c>
      <c r="U220" s="13" t="n">
        <v>-0.44</v>
      </c>
      <c r="V220" s="9" t="n">
        <f aca="false">(U220-U219)/U219</f>
        <v>-0.0434782608695663</v>
      </c>
      <c r="W220" s="0" t="n">
        <v>1.3115</v>
      </c>
      <c r="X220" s="23" t="n">
        <f aca="false">(W220-W219)/W219</f>
        <v>-0.00568612585291876</v>
      </c>
      <c r="Y220" s="0" t="n">
        <v>1.6177</v>
      </c>
      <c r="Z220" s="24" t="n">
        <f aca="false">(Y220-Y219)/Y219</f>
        <v>0.00803838484546355</v>
      </c>
    </row>
    <row r="221" customFormat="false" ht="13.8" hidden="false" customHeight="false" outlineLevel="0" collapsed="false">
      <c r="A221" s="8" t="n">
        <v>39153</v>
      </c>
      <c r="B221" s="0" t="n">
        <v>111.99</v>
      </c>
      <c r="C221" s="9" t="n">
        <f aca="false">(B221-B220)/B220</f>
        <v>-0.0225189840272322</v>
      </c>
      <c r="D221" s="0" t="n">
        <v>16.79</v>
      </c>
      <c r="E221" s="9" t="n">
        <f aca="false">(D221-D220)/D220</f>
        <v>0.191625266146203</v>
      </c>
      <c r="F221" s="0" t="n">
        <v>138.53</v>
      </c>
      <c r="G221" s="9" t="n">
        <f aca="false">(F221-F220)/F220</f>
        <v>-0.0159823838613439</v>
      </c>
      <c r="H221" s="0" t="n">
        <f aca="false">AVERAGE(F207:F220)</f>
        <v>142.435</v>
      </c>
      <c r="I221" s="0" t="n">
        <f aca="false">AVERAGE(F214:F220)</f>
        <v>143.051428571429</v>
      </c>
      <c r="J221" s="0" t="n">
        <f aca="false">AVERAGE(F218:F220)</f>
        <v>141.583333333333</v>
      </c>
      <c r="K221" s="10" t="n">
        <v>60.85</v>
      </c>
      <c r="L221" s="9" t="n">
        <f aca="false">(K221-K220)/K220</f>
        <v>-0.0128163530175211</v>
      </c>
      <c r="M221" s="10" t="n">
        <v>60.35</v>
      </c>
      <c r="N221" s="9" t="n">
        <f aca="false">(M221-M220)/M220</f>
        <v>-0.00445397558561524</v>
      </c>
      <c r="O221" s="0" t="n">
        <v>2.42</v>
      </c>
      <c r="P221" s="9" t="n">
        <f aca="false">(O221-O220)/O220</f>
        <v>0.00833333333333315</v>
      </c>
      <c r="Q221" s="10" t="n">
        <v>2.04</v>
      </c>
      <c r="R221" s="9" t="n">
        <f aca="false">(Q221-Q220)/Q220</f>
        <v>-0.0192307692307692</v>
      </c>
      <c r="S221" s="10" t="n">
        <v>4.54</v>
      </c>
      <c r="T221" s="9" t="n">
        <f aca="false">(S221-S220)/S220</f>
        <v>0.00220750551876375</v>
      </c>
      <c r="U221" s="13" t="n">
        <v>-0.39</v>
      </c>
      <c r="V221" s="9" t="n">
        <f aca="false">(U221-U220)/U220</f>
        <v>-0.113636363636363</v>
      </c>
      <c r="W221" s="0" t="n">
        <v>1.3309</v>
      </c>
      <c r="X221" s="23" t="n">
        <f aca="false">(W221-W220)/W220</f>
        <v>0.0147922226458253</v>
      </c>
      <c r="Y221" s="0" t="n">
        <v>1.6072</v>
      </c>
      <c r="Z221" s="24" t="n">
        <f aca="false">(Y221-Y220)/Y220</f>
        <v>-0.00649069666810888</v>
      </c>
    </row>
    <row r="222" customFormat="false" ht="13.8" hidden="false" customHeight="false" outlineLevel="0" collapsed="false">
      <c r="A222" s="8" t="n">
        <v>39160</v>
      </c>
      <c r="B222" s="0" t="n">
        <v>116.05</v>
      </c>
      <c r="C222" s="9" t="n">
        <f aca="false">(B222-B221)/B221</f>
        <v>0.0362532368961515</v>
      </c>
      <c r="D222" s="0" t="n">
        <v>12.95</v>
      </c>
      <c r="E222" s="9" t="n">
        <f aca="false">(D222-D221)/D221</f>
        <v>-0.228707564026206</v>
      </c>
      <c r="F222" s="0" t="n">
        <v>143.39</v>
      </c>
      <c r="G222" s="9" t="n">
        <f aca="false">(F222-F221)/F221</f>
        <v>0.0350826535768425</v>
      </c>
      <c r="H222" s="0" t="n">
        <f aca="false">AVERAGE(F208:F221)</f>
        <v>142.228571428571</v>
      </c>
      <c r="I222" s="0" t="n">
        <f aca="false">AVERAGE(F215:F221)</f>
        <v>142.537142857143</v>
      </c>
      <c r="J222" s="0" t="n">
        <f aca="false">AVERAGE(F219:F221)</f>
        <v>139.326666666667</v>
      </c>
      <c r="K222" s="10" t="n">
        <v>57.94</v>
      </c>
      <c r="L222" s="9" t="n">
        <f aca="false">(K222-K221)/K221</f>
        <v>-0.0478225143796221</v>
      </c>
      <c r="M222" s="10" t="n">
        <v>60.87</v>
      </c>
      <c r="N222" s="9" t="n">
        <f aca="false">(M222-M221)/M221</f>
        <v>0.00861640430820209</v>
      </c>
      <c r="O222" s="0" t="n">
        <v>2.46</v>
      </c>
      <c r="P222" s="9" t="n">
        <f aca="false">(O222-O221)/O221</f>
        <v>0.0165289256198349</v>
      </c>
      <c r="Q222" s="10" t="n">
        <v>2.02</v>
      </c>
      <c r="R222" s="9" t="n">
        <f aca="false">(Q222-Q221)/Q221</f>
        <v>-0.00980392156862746</v>
      </c>
      <c r="S222" s="10" t="n">
        <v>4.58</v>
      </c>
      <c r="T222" s="9" t="n">
        <f aca="false">(S222-S221)/S221</f>
        <v>0.00881057268722468</v>
      </c>
      <c r="U222" s="13" t="n">
        <v>-0.34</v>
      </c>
      <c r="V222" s="9" t="n">
        <f aca="false">(U222-U221)/U221</f>
        <v>-0.128205128205128</v>
      </c>
      <c r="W222" s="0" t="n">
        <v>1.329</v>
      </c>
      <c r="X222" s="23" t="n">
        <f aca="false">(W222-W221)/W221</f>
        <v>-0.00142760537981818</v>
      </c>
      <c r="Y222" s="0" t="n">
        <v>1.6193</v>
      </c>
      <c r="Z222" s="24" t="n">
        <f aca="false">(Y222-Y221)/Y221</f>
        <v>0.00752862120457925</v>
      </c>
    </row>
    <row r="223" customFormat="false" ht="13.8" hidden="false" customHeight="false" outlineLevel="0" collapsed="false">
      <c r="A223" s="8" t="n">
        <v>39167</v>
      </c>
      <c r="B223" s="0" t="n">
        <v>113.86</v>
      </c>
      <c r="C223" s="9" t="n">
        <f aca="false">(B223-B222)/B222</f>
        <v>-0.0188711762171478</v>
      </c>
      <c r="D223" s="0" t="n">
        <v>14.64</v>
      </c>
      <c r="E223" s="9" t="n">
        <f aca="false">(D223-D222)/D222</f>
        <v>0.130501930501931</v>
      </c>
      <c r="F223" s="0" t="n">
        <v>142</v>
      </c>
      <c r="G223" s="9" t="n">
        <f aca="false">(F223-F222)/F222</f>
        <v>-0.00969384196945384</v>
      </c>
      <c r="H223" s="0" t="n">
        <f aca="false">AVERAGE(F209:F222)</f>
        <v>142.303571428571</v>
      </c>
      <c r="I223" s="0" t="n">
        <f aca="false">AVERAGE(F216:F222)</f>
        <v>142.334285714286</v>
      </c>
      <c r="J223" s="0" t="n">
        <f aca="false">AVERAGE(F220:F222)</f>
        <v>140.9</v>
      </c>
      <c r="K223" s="10" t="n">
        <v>58.26</v>
      </c>
      <c r="L223" s="9" t="n">
        <f aca="false">(K223-K222)/K222</f>
        <v>0.00552295478080774</v>
      </c>
      <c r="M223" s="10" t="n">
        <v>61.09</v>
      </c>
      <c r="N223" s="9" t="n">
        <f aca="false">(M223-M222)/M222</f>
        <v>0.00361425989814368</v>
      </c>
      <c r="O223" s="0" t="n">
        <v>2.51</v>
      </c>
      <c r="P223" s="9" t="n">
        <f aca="false">(O223-O222)/O222</f>
        <v>0.0203252032520323</v>
      </c>
      <c r="Q223" s="10" t="n">
        <v>2</v>
      </c>
      <c r="R223" s="9" t="n">
        <f aca="false">(Q223-Q222)/Q222</f>
        <v>-0.00990099009900991</v>
      </c>
      <c r="S223" s="10" t="n">
        <v>4.63</v>
      </c>
      <c r="T223" s="9" t="n">
        <f aca="false">(S223-S222)/S222</f>
        <v>0.0109170305676856</v>
      </c>
      <c r="U223" s="13" t="n">
        <v>-0.29</v>
      </c>
      <c r="V223" s="9" t="n">
        <f aca="false">(U223-U222)/U222</f>
        <v>-0.147058823529411</v>
      </c>
      <c r="W223" s="0" t="n">
        <v>1.3354</v>
      </c>
      <c r="X223" s="23" t="n">
        <f aca="false">(W223-W222)/W222</f>
        <v>0.00481565086531224</v>
      </c>
      <c r="Y223" s="0" t="n">
        <v>1.6232</v>
      </c>
      <c r="Z223" s="24" t="n">
        <f aca="false">(Y223-Y222)/Y222</f>
        <v>0.00240844809485581</v>
      </c>
    </row>
    <row r="224" customFormat="false" ht="13.8" hidden="false" customHeight="false" outlineLevel="0" collapsed="false">
      <c r="A224" s="8" t="n">
        <v>39174</v>
      </c>
      <c r="B224" s="0" t="n">
        <v>113.52</v>
      </c>
      <c r="C224" s="9" t="n">
        <f aca="false">(B224-B223)/B223</f>
        <v>-0.00298612330932727</v>
      </c>
      <c r="D224" s="0" t="n">
        <v>13.23</v>
      </c>
      <c r="E224" s="9" t="n">
        <f aca="false">(D224-D223)/D223</f>
        <v>-0.0963114754098361</v>
      </c>
      <c r="F224" s="0" t="n">
        <v>144.24</v>
      </c>
      <c r="G224" s="9" t="n">
        <f aca="false">(F224-F223)/F223</f>
        <v>0.015774647887324</v>
      </c>
      <c r="H224" s="0" t="n">
        <f aca="false">AVERAGE(F210:F223)</f>
        <v>142.392857142857</v>
      </c>
      <c r="I224" s="0" t="n">
        <f aca="false">AVERAGE(F217:F223)</f>
        <v>142.057142857143</v>
      </c>
      <c r="J224" s="0" t="n">
        <f aca="false">AVERAGE(F221:F223)</f>
        <v>141.306666666667</v>
      </c>
      <c r="K224" s="10" t="n">
        <v>64.18</v>
      </c>
      <c r="L224" s="9" t="n">
        <f aca="false">(K224-K223)/K223</f>
        <v>0.101613456917268</v>
      </c>
      <c r="M224" s="10" t="n">
        <v>66.1</v>
      </c>
      <c r="N224" s="9" t="n">
        <f aca="false">(M224-M223)/M223</f>
        <v>0.0820101489605499</v>
      </c>
      <c r="O224" s="0" t="n">
        <v>2.51</v>
      </c>
      <c r="P224" s="9" t="n">
        <f aca="false">(O224-O223)/O223</f>
        <v>0</v>
      </c>
      <c r="Q224" s="10" t="n">
        <v>2.07</v>
      </c>
      <c r="R224" s="9" t="n">
        <f aca="false">(Q224-Q223)/Q223</f>
        <v>0.0349999999999999</v>
      </c>
      <c r="S224" s="10" t="n">
        <v>4.68</v>
      </c>
      <c r="T224" s="9" t="n">
        <f aca="false">(S224-S223)/S223</f>
        <v>0.0107991360691144</v>
      </c>
      <c r="U224" s="13" t="n">
        <v>-0.23</v>
      </c>
      <c r="V224" s="9" t="n">
        <f aca="false">(U224-U223)/U223</f>
        <v>-0.206896551724136</v>
      </c>
      <c r="W224" s="0" t="n">
        <v>1.3371</v>
      </c>
      <c r="X224" s="23" t="n">
        <f aca="false">(W224-W223)/W223</f>
        <v>0.00127302680844693</v>
      </c>
      <c r="Y224" s="0" t="n">
        <v>1.6337</v>
      </c>
      <c r="Z224" s="24" t="n">
        <f aca="false">(Y224-Y223)/Y223</f>
        <v>0.00646870379497286</v>
      </c>
    </row>
    <row r="225" customFormat="false" ht="13.8" hidden="false" customHeight="false" outlineLevel="0" collapsed="false">
      <c r="A225" s="8" t="n">
        <v>39181</v>
      </c>
      <c r="B225" s="0" t="n">
        <v>113.14</v>
      </c>
      <c r="C225" s="9" t="n">
        <f aca="false">(B225-B224)/B224</f>
        <v>-0.00334742776603238</v>
      </c>
      <c r="D225" s="0" t="n">
        <v>12.2</v>
      </c>
      <c r="E225" s="9" t="n">
        <f aca="false">(D225-D224)/D224</f>
        <v>-0.0778533635676494</v>
      </c>
      <c r="F225" s="0" t="n">
        <v>145.32</v>
      </c>
      <c r="G225" s="9" t="n">
        <f aca="false">(F225-F224)/F224</f>
        <v>0.00748752079866877</v>
      </c>
      <c r="H225" s="0" t="n">
        <f aca="false">AVERAGE(F211:F224)</f>
        <v>142.58</v>
      </c>
      <c r="I225" s="0" t="n">
        <f aca="false">AVERAGE(F218:F224)</f>
        <v>141.844285714286</v>
      </c>
      <c r="J225" s="0" t="n">
        <f aca="false">AVERAGE(F222:F224)</f>
        <v>143.21</v>
      </c>
      <c r="K225" s="10" t="n">
        <v>64.82</v>
      </c>
      <c r="L225" s="9" t="n">
        <f aca="false">(K225-K224)/K224</f>
        <v>0.00997195387971309</v>
      </c>
      <c r="M225" s="10" t="n">
        <v>68.55</v>
      </c>
      <c r="N225" s="9" t="n">
        <f aca="false">(M225-M224)/M224</f>
        <v>0.0370650529500757</v>
      </c>
      <c r="O225" s="0" t="n">
        <v>2.52</v>
      </c>
      <c r="P225" s="9" t="n">
        <f aca="false">(O225-O224)/O224</f>
        <v>0.00398406374501984</v>
      </c>
      <c r="Q225" s="10" t="n">
        <v>2.14</v>
      </c>
      <c r="R225" s="9" t="n">
        <f aca="false">(Q225-Q224)/Q224</f>
        <v>0.0338164251207731</v>
      </c>
      <c r="S225" s="10" t="n">
        <v>4.74</v>
      </c>
      <c r="T225" s="9" t="n">
        <f aca="false">(S225-S224)/S224</f>
        <v>0.0128205128205129</v>
      </c>
      <c r="U225" s="13" t="n">
        <v>-0.15</v>
      </c>
      <c r="V225" s="9" t="n">
        <f aca="false">(U225-U224)/U224</f>
        <v>-0.347826086956525</v>
      </c>
      <c r="W225" s="0" t="n">
        <v>1.3534</v>
      </c>
      <c r="X225" s="23" t="n">
        <f aca="false">(W225-W224)/W224</f>
        <v>0.0121905616633012</v>
      </c>
      <c r="Y225" s="0" t="n">
        <v>1.643</v>
      </c>
      <c r="Z225" s="24" t="n">
        <f aca="false">(Y225-Y224)/Y224</f>
        <v>0.00569259962049341</v>
      </c>
    </row>
    <row r="226" customFormat="false" ht="13.8" hidden="false" customHeight="false" outlineLevel="0" collapsed="false">
      <c r="A226" s="8" t="n">
        <v>39188</v>
      </c>
      <c r="B226" s="0" t="n">
        <v>117.16</v>
      </c>
      <c r="C226" s="9" t="n">
        <f aca="false">(B226-B225)/B225</f>
        <v>0.0355312002828354</v>
      </c>
      <c r="D226" s="0" t="n">
        <v>12.07</v>
      </c>
      <c r="E226" s="9" t="n">
        <f aca="false">(D226-D225)/D225</f>
        <v>-0.010655737704918</v>
      </c>
      <c r="F226" s="0" t="n">
        <v>148.62</v>
      </c>
      <c r="G226" s="9" t="n">
        <f aca="false">(F226-F225)/F225</f>
        <v>0.022708505367465</v>
      </c>
      <c r="H226" s="0" t="n">
        <f aca="false">AVERAGE(F212:F225)</f>
        <v>142.921428571429</v>
      </c>
      <c r="I226" s="0" t="n">
        <f aca="false">AVERAGE(F219:F225)</f>
        <v>141.847142857143</v>
      </c>
      <c r="J226" s="0" t="n">
        <f aca="false">AVERAGE(F223:F225)</f>
        <v>143.853333333333</v>
      </c>
      <c r="K226" s="10" t="n">
        <v>62.58</v>
      </c>
      <c r="L226" s="9" t="n">
        <f aca="false">(K226-K225)/K225</f>
        <v>-0.0345572354211662</v>
      </c>
      <c r="M226" s="10" t="n">
        <v>68.2</v>
      </c>
      <c r="N226" s="9" t="n">
        <f aca="false">(M226-M225)/M225</f>
        <v>-0.00510576221735951</v>
      </c>
      <c r="O226" s="0" t="n">
        <v>2.45</v>
      </c>
      <c r="P226" s="9" t="n">
        <f aca="false">(O226-O225)/O225</f>
        <v>-0.0277777777777779</v>
      </c>
      <c r="Q226" s="10" t="n">
        <v>2.15</v>
      </c>
      <c r="R226" s="9" t="n">
        <f aca="false">(Q226-Q225)/Q225</f>
        <v>0.00467289719626158</v>
      </c>
      <c r="S226" s="10" t="n">
        <v>4.69</v>
      </c>
      <c r="T226" s="9" t="n">
        <f aca="false">(S226-S225)/S225</f>
        <v>-0.010548523206751</v>
      </c>
      <c r="U226" s="13" t="n">
        <v>-0.17</v>
      </c>
      <c r="V226" s="9" t="n">
        <f aca="false">(U226-U225)/U225</f>
        <v>0.133333333333337</v>
      </c>
      <c r="W226" s="0" t="n">
        <v>1.3598</v>
      </c>
      <c r="X226" s="23" t="n">
        <f aca="false">(W226-W225)/W225</f>
        <v>0.0047288310920644</v>
      </c>
      <c r="Y226" s="0" t="n">
        <v>1.6416</v>
      </c>
      <c r="Z226" s="24" t="n">
        <f aca="false">(Y226-Y225)/Y225</f>
        <v>-0.000852099817407223</v>
      </c>
    </row>
    <row r="227" customFormat="false" ht="13.8" hidden="false" customHeight="false" outlineLevel="0" collapsed="false">
      <c r="A227" s="8" t="n">
        <v>39195</v>
      </c>
      <c r="B227" s="0" t="n">
        <v>116.88</v>
      </c>
      <c r="C227" s="9" t="n">
        <f aca="false">(B227-B226)/B226</f>
        <v>-0.00238989416182999</v>
      </c>
      <c r="D227" s="0" t="n">
        <v>12.45</v>
      </c>
      <c r="E227" s="9" t="n">
        <f aca="false">(D227-D226)/D226</f>
        <v>0.0314830157415078</v>
      </c>
      <c r="F227" s="0" t="n">
        <v>149.53</v>
      </c>
      <c r="G227" s="9" t="n">
        <f aca="false">(F227-F226)/F226</f>
        <v>0.00612299825057191</v>
      </c>
      <c r="H227" s="0" t="n">
        <f aca="false">AVERAGE(F213:F226)</f>
        <v>143.305714285714</v>
      </c>
      <c r="I227" s="0" t="n">
        <f aca="false">AVERAGE(F220:F226)</f>
        <v>143.268571428571</v>
      </c>
      <c r="J227" s="0" t="n">
        <f aca="false">AVERAGE(F224:F226)</f>
        <v>146.06</v>
      </c>
      <c r="K227" s="10" t="n">
        <v>63.06</v>
      </c>
      <c r="L227" s="9" t="n">
        <f aca="false">(K227-K226)/K226</f>
        <v>0.00767018216682653</v>
      </c>
      <c r="M227" s="10" t="n">
        <v>66.21</v>
      </c>
      <c r="N227" s="9" t="n">
        <f aca="false">(M227-M226)/M226</f>
        <v>-0.0291788856304987</v>
      </c>
      <c r="O227" s="0" t="n">
        <v>2.45</v>
      </c>
      <c r="P227" s="9" t="n">
        <f aca="false">(O227-O226)/O226</f>
        <v>0</v>
      </c>
      <c r="Q227" s="10" t="n">
        <v>2.11</v>
      </c>
      <c r="R227" s="9" t="n">
        <f aca="false">(Q227-Q226)/Q226</f>
        <v>-0.0186046511627907</v>
      </c>
      <c r="S227" s="10" t="n">
        <v>4.67</v>
      </c>
      <c r="T227" s="9" t="n">
        <f aca="false">(S227-S226)/S226</f>
        <v>-0.00426439232409391</v>
      </c>
      <c r="U227" s="13" t="n">
        <v>-0.16</v>
      </c>
      <c r="V227" s="9" t="n">
        <f aca="false">(U227-U226)/U226</f>
        <v>-0.0588235294117635</v>
      </c>
      <c r="W227" s="0" t="n">
        <v>1.3641</v>
      </c>
      <c r="X227" s="23" t="n">
        <f aca="false">(W227-W226)/W226</f>
        <v>0.00316222973966774</v>
      </c>
      <c r="Y227" s="0" t="n">
        <v>1.6458</v>
      </c>
      <c r="Z227" s="24" t="n">
        <f aca="false">(Y227-Y226)/Y226</f>
        <v>0.00255847953216373</v>
      </c>
    </row>
    <row r="228" customFormat="false" ht="13.8" hidden="false" customHeight="false" outlineLevel="0" collapsed="false">
      <c r="A228" s="8" t="n">
        <v>39202</v>
      </c>
      <c r="B228" s="0" t="n">
        <v>117.38</v>
      </c>
      <c r="C228" s="9" t="n">
        <f aca="false">(B228-B227)/B227</f>
        <v>0.00427789185489391</v>
      </c>
      <c r="D228" s="0" t="n">
        <v>12.91</v>
      </c>
      <c r="E228" s="9" t="n">
        <f aca="false">(D228-D227)/D227</f>
        <v>0.0369477911646587</v>
      </c>
      <c r="F228" s="0" t="n">
        <v>150.92</v>
      </c>
      <c r="G228" s="9" t="n">
        <f aca="false">(F228-F227)/F227</f>
        <v>0.00929579348625685</v>
      </c>
      <c r="H228" s="0" t="n">
        <f aca="false">AVERAGE(F214:F227)</f>
        <v>143.785</v>
      </c>
      <c r="I228" s="0" t="n">
        <f aca="false">AVERAGE(F221:F227)</f>
        <v>144.518571428571</v>
      </c>
      <c r="J228" s="0" t="n">
        <f aca="false">AVERAGE(F225:F227)</f>
        <v>147.823333333333</v>
      </c>
      <c r="K228" s="10" t="n">
        <v>65.26</v>
      </c>
      <c r="L228" s="9" t="n">
        <f aca="false">(K228-K227)/K227</f>
        <v>0.0348874088169997</v>
      </c>
      <c r="M228" s="10" t="n">
        <v>67.39</v>
      </c>
      <c r="N228" s="9" t="n">
        <f aca="false">(M228-M227)/M227</f>
        <v>0.0178220812566079</v>
      </c>
      <c r="O228" s="0" t="n">
        <v>2.45</v>
      </c>
      <c r="P228" s="9" t="n">
        <f aca="false">(O228-O227)/O227</f>
        <v>0</v>
      </c>
      <c r="Q228" s="10" t="n">
        <v>2.1</v>
      </c>
      <c r="R228" s="9" t="n">
        <f aca="false">(Q228-Q227)/Q227</f>
        <v>-0.00473933649289089</v>
      </c>
      <c r="S228" s="10" t="n">
        <v>4.65</v>
      </c>
      <c r="T228" s="9" t="n">
        <f aca="false">(S228-S227)/S227</f>
        <v>-0.00428265524625259</v>
      </c>
      <c r="U228" s="13" t="n">
        <v>-0.119999999999999</v>
      </c>
      <c r="V228" s="9" t="n">
        <f aca="false">(U228-U227)/U227</f>
        <v>-0.250000000000005</v>
      </c>
      <c r="W228" s="0" t="n">
        <v>1.3597</v>
      </c>
      <c r="X228" s="23" t="n">
        <f aca="false">(W228-W227)/W227</f>
        <v>-0.00322556997287602</v>
      </c>
      <c r="Y228" s="0" t="n">
        <v>1.6462</v>
      </c>
      <c r="Z228" s="24" t="n">
        <f aca="false">(Y228-Y227)/Y227</f>
        <v>0.000243042897071441</v>
      </c>
    </row>
    <row r="229" customFormat="false" ht="13.8" hidden="false" customHeight="false" outlineLevel="0" collapsed="false">
      <c r="A229" s="8" t="n">
        <v>39209</v>
      </c>
      <c r="B229" s="0" t="n">
        <v>117.15</v>
      </c>
      <c r="C229" s="9" t="n">
        <f aca="false">(B229-B228)/B228</f>
        <v>-0.00195944794683924</v>
      </c>
      <c r="D229" s="0" t="n">
        <v>12.95</v>
      </c>
      <c r="E229" s="9" t="n">
        <f aca="false">(D229-D228)/D228</f>
        <v>0.00309837335398909</v>
      </c>
      <c r="F229" s="0" t="n">
        <v>150.86</v>
      </c>
      <c r="G229" s="9" t="n">
        <f aca="false">(F229-F228)/F228</f>
        <v>-0.000397561622051245</v>
      </c>
      <c r="H229" s="0" t="n">
        <f aca="false">AVERAGE(F215:F228)</f>
        <v>144.412857142857</v>
      </c>
      <c r="I229" s="0" t="n">
        <f aca="false">AVERAGE(F222:F228)</f>
        <v>146.288571428571</v>
      </c>
      <c r="J229" s="0" t="n">
        <f aca="false">AVERAGE(F226:F228)</f>
        <v>149.69</v>
      </c>
      <c r="K229" s="10" t="n">
        <v>63.82</v>
      </c>
      <c r="L229" s="9" t="n">
        <f aca="false">(K229-K228)/K228</f>
        <v>-0.0220655838185719</v>
      </c>
      <c r="M229" s="10" t="n">
        <v>66.04</v>
      </c>
      <c r="N229" s="9" t="n">
        <f aca="false">(M229-M228)/M228</f>
        <v>-0.0200326457931443</v>
      </c>
      <c r="O229" s="0" t="n">
        <v>2.38</v>
      </c>
      <c r="P229" s="9" t="n">
        <f aca="false">(O229-O228)/O228</f>
        <v>-0.0285714285714287</v>
      </c>
      <c r="Q229" s="10" t="n">
        <v>2.18</v>
      </c>
      <c r="R229" s="9" t="n">
        <f aca="false">(Q229-Q228)/Q228</f>
        <v>0.0380952380952381</v>
      </c>
      <c r="S229" s="10" t="n">
        <v>4.65</v>
      </c>
      <c r="T229" s="9" t="n">
        <f aca="false">(S229-S228)/S228</f>
        <v>0</v>
      </c>
      <c r="U229" s="13" t="n">
        <v>-0.0999999999999996</v>
      </c>
      <c r="V229" s="9" t="n">
        <f aca="false">(U229-U228)/U228</f>
        <v>-0.166666666666664</v>
      </c>
      <c r="W229" s="0" t="n">
        <v>1.3527</v>
      </c>
      <c r="X229" s="23" t="n">
        <f aca="false">(W229-W228)/W228</f>
        <v>-0.00514819445465904</v>
      </c>
      <c r="Y229" s="0" t="n">
        <v>1.6483</v>
      </c>
      <c r="Z229" s="24" t="n">
        <f aca="false">(Y229-Y228)/Y228</f>
        <v>0.0012756651682663</v>
      </c>
    </row>
    <row r="230" customFormat="false" ht="13.8" hidden="false" customHeight="false" outlineLevel="0" collapsed="false">
      <c r="A230" s="8" t="n">
        <v>39216</v>
      </c>
      <c r="B230" s="0" t="n">
        <v>118.06</v>
      </c>
      <c r="C230" s="9" t="n">
        <f aca="false">(B230-B229)/B229</f>
        <v>0.00776781903542464</v>
      </c>
      <c r="D230" s="0" t="n">
        <v>12.76</v>
      </c>
      <c r="E230" s="9" t="n">
        <f aca="false">(D230-D229)/D229</f>
        <v>-0.0146718146718146</v>
      </c>
      <c r="F230" s="0" t="n">
        <v>152.62</v>
      </c>
      <c r="G230" s="9" t="n">
        <f aca="false">(F230-F229)/F229</f>
        <v>0.0116664457112554</v>
      </c>
      <c r="H230" s="0" t="n">
        <f aca="false">AVERAGE(F216:F229)</f>
        <v>144.845</v>
      </c>
      <c r="I230" s="0" t="n">
        <f aca="false">AVERAGE(F223:F229)</f>
        <v>147.355714285714</v>
      </c>
      <c r="J230" s="0" t="n">
        <f aca="false">AVERAGE(F227:F229)</f>
        <v>150.436666666667</v>
      </c>
      <c r="K230" s="10" t="n">
        <v>61.9</v>
      </c>
      <c r="L230" s="9" t="n">
        <f aca="false">(K230-K229)/K229</f>
        <v>-0.0300846129739894</v>
      </c>
      <c r="M230" s="10" t="n">
        <v>63.91</v>
      </c>
      <c r="N230" s="9" t="n">
        <f aca="false">(M230-M229)/M229</f>
        <v>-0.0322531798909753</v>
      </c>
      <c r="O230" s="0" t="n">
        <v>2.37</v>
      </c>
      <c r="P230" s="9" t="n">
        <f aca="false">(O230-O229)/O229</f>
        <v>-0.00420168067226863</v>
      </c>
      <c r="Q230" s="10" t="n">
        <v>2.29</v>
      </c>
      <c r="R230" s="9" t="n">
        <f aca="false">(Q230-Q229)/Q229</f>
        <v>0.0504587155963302</v>
      </c>
      <c r="S230" s="10" t="n">
        <v>4.74</v>
      </c>
      <c r="T230" s="9" t="n">
        <f aca="false">(S230-S229)/S229</f>
        <v>0.0193548387096774</v>
      </c>
      <c r="U230" s="13" t="n">
        <v>0.0499999999999998</v>
      </c>
      <c r="V230" s="9" t="n">
        <f aca="false">(U230-U229)/U229</f>
        <v>-1.5</v>
      </c>
      <c r="W230" s="0" t="n">
        <v>1.3505</v>
      </c>
      <c r="X230" s="23" t="n">
        <f aca="false">(W230-W229)/W229</f>
        <v>-0.00162637687587786</v>
      </c>
      <c r="Y230" s="0" t="n">
        <v>1.6575</v>
      </c>
      <c r="Z230" s="24" t="n">
        <f aca="false">(Y230-Y229)/Y229</f>
        <v>0.00558150822059097</v>
      </c>
    </row>
    <row r="231" customFormat="false" ht="13.8" hidden="false" customHeight="false" outlineLevel="0" collapsed="false">
      <c r="A231" s="8" t="n">
        <v>39223</v>
      </c>
      <c r="B231" s="0" t="n">
        <v>117.07</v>
      </c>
      <c r="C231" s="9" t="n">
        <f aca="false">(B231-B230)/B230</f>
        <v>-0.0083855666610199</v>
      </c>
      <c r="D231" s="0" t="n">
        <v>13.34</v>
      </c>
      <c r="E231" s="9" t="n">
        <f aca="false">(D231-D230)/D230</f>
        <v>0.0454545454545455</v>
      </c>
      <c r="F231" s="0" t="n">
        <v>151.69</v>
      </c>
      <c r="G231" s="9" t="n">
        <f aca="false">(F231-F230)/F230</f>
        <v>-0.00609356571877871</v>
      </c>
      <c r="H231" s="0" t="n">
        <f aca="false">AVERAGE(F217:F230)</f>
        <v>145.465</v>
      </c>
      <c r="I231" s="0" t="n">
        <f aca="false">AVERAGE(F224:F230)</f>
        <v>148.872857142857</v>
      </c>
      <c r="J231" s="0" t="n">
        <f aca="false">AVERAGE(F228:F230)</f>
        <v>151.466666666667</v>
      </c>
      <c r="K231" s="10" t="n">
        <v>63.61</v>
      </c>
      <c r="L231" s="9" t="n">
        <f aca="false">(K231-K230)/K230</f>
        <v>0.0276252019386107</v>
      </c>
      <c r="M231" s="10" t="n">
        <v>67.55</v>
      </c>
      <c r="N231" s="9" t="n">
        <f aca="false">(M231-M230)/M230</f>
        <v>0.0569550930996714</v>
      </c>
      <c r="O231" s="0" t="n">
        <v>2.35</v>
      </c>
      <c r="P231" s="9" t="n">
        <f aca="false">(O231-O230)/O230</f>
        <v>-0.00843881856540104</v>
      </c>
      <c r="Q231" s="10" t="n">
        <v>2.42</v>
      </c>
      <c r="R231" s="9" t="n">
        <f aca="false">(Q231-Q230)/Q230</f>
        <v>0.056768558951965</v>
      </c>
      <c r="S231" s="10" t="n">
        <v>4.84</v>
      </c>
      <c r="T231" s="9" t="n">
        <f aca="false">(S231-S230)/S230</f>
        <v>0.021097046413502</v>
      </c>
      <c r="U231" s="13" t="n">
        <v>0.0700000000000003</v>
      </c>
      <c r="V231" s="9" t="n">
        <f aca="false">(U231-U230)/U230</f>
        <v>0.400000000000011</v>
      </c>
      <c r="W231" s="0" t="n">
        <v>1.3449</v>
      </c>
      <c r="X231" s="23" t="n">
        <f aca="false">(W231-W230)/W230</f>
        <v>-0.00414661236579048</v>
      </c>
      <c r="Y231" s="0" t="n">
        <v>1.651</v>
      </c>
      <c r="Z231" s="24" t="n">
        <f aca="false">(Y231-Y230)/Y230</f>
        <v>-0.00392156862745108</v>
      </c>
    </row>
    <row r="232" customFormat="false" ht="13.8" hidden="false" customHeight="false" outlineLevel="0" collapsed="false">
      <c r="A232" s="8" t="n">
        <v>39231</v>
      </c>
      <c r="B232" s="0" t="n">
        <v>117.62</v>
      </c>
      <c r="C232" s="9" t="n">
        <f aca="false">(B232-B231)/B231</f>
        <v>0.00469804390535587</v>
      </c>
      <c r="D232" s="0" t="n">
        <v>12.78</v>
      </c>
      <c r="E232" s="9" t="n">
        <f aca="false">(D232-D231)/D231</f>
        <v>-0.0419790104947527</v>
      </c>
      <c r="F232" s="0" t="n">
        <v>154.08</v>
      </c>
      <c r="G232" s="9" t="n">
        <f aca="false">(F232-F231)/F231</f>
        <v>0.0157558177862747</v>
      </c>
      <c r="H232" s="0" t="n">
        <f aca="false">AVERAGE(F218:F231)</f>
        <v>145.890714285714</v>
      </c>
      <c r="I232" s="0" t="n">
        <f aca="false">AVERAGE(F225:F231)</f>
        <v>149.937142857143</v>
      </c>
      <c r="J232" s="0" t="n">
        <f aca="false">AVERAGE(F229:F231)</f>
        <v>151.723333333333</v>
      </c>
      <c r="K232" s="10" t="n">
        <v>64.89</v>
      </c>
      <c r="L232" s="9" t="n">
        <f aca="false">(K232-K231)/K231</f>
        <v>0.0201226222292093</v>
      </c>
      <c r="M232" s="10" t="n">
        <v>70.65</v>
      </c>
      <c r="N232" s="9" t="n">
        <f aca="false">(M232-M231)/M231</f>
        <v>0.0458919319022947</v>
      </c>
      <c r="O232" s="0" t="n">
        <v>2.33</v>
      </c>
      <c r="P232" s="9" t="n">
        <f aca="false">(O232-O231)/O231</f>
        <v>-0.00851063829787197</v>
      </c>
      <c r="Q232" s="10" t="n">
        <v>2.53</v>
      </c>
      <c r="R232" s="9" t="n">
        <f aca="false">(Q232-Q231)/Q231</f>
        <v>0.0454545454545454</v>
      </c>
      <c r="S232" s="10" t="n">
        <v>4.9</v>
      </c>
      <c r="T232" s="9" t="n">
        <f aca="false">(S232-S231)/S231</f>
        <v>0.0123966942148761</v>
      </c>
      <c r="U232" s="13" t="n">
        <v>0.220000000000001</v>
      </c>
      <c r="V232" s="9" t="n">
        <f aca="false">(U232-U231)/U231</f>
        <v>2.14285714285714</v>
      </c>
      <c r="W232" s="0" t="n">
        <v>1.3442</v>
      </c>
      <c r="X232" s="23" t="n">
        <f aca="false">(W232-W231)/W231</f>
        <v>-0.000520484794408449</v>
      </c>
      <c r="Y232" s="0" t="n">
        <v>1.6538</v>
      </c>
      <c r="Z232" s="24" t="n">
        <f aca="false">(Y232-Y231)/Y231</f>
        <v>0.00169594185342212</v>
      </c>
    </row>
    <row r="233" customFormat="false" ht="13.8" hidden="false" customHeight="false" outlineLevel="0" collapsed="false">
      <c r="A233" s="8" t="n">
        <v>39237</v>
      </c>
      <c r="B233" s="0" t="n">
        <v>115.23</v>
      </c>
      <c r="C233" s="9" t="n">
        <f aca="false">(B233-B232)/B232</f>
        <v>-0.0203196735249107</v>
      </c>
      <c r="D233" s="0" t="n">
        <v>14.84</v>
      </c>
      <c r="E233" s="9" t="n">
        <f aca="false">(D233-D232)/D232</f>
        <v>0.161189358372457</v>
      </c>
      <c r="F233" s="0" t="n">
        <v>151.04</v>
      </c>
      <c r="G233" s="9" t="n">
        <f aca="false">(F233-F232)/F232</f>
        <v>-0.0197300103842161</v>
      </c>
      <c r="H233" s="0" t="n">
        <f aca="false">AVERAGE(F219:F232)</f>
        <v>146.517857142857</v>
      </c>
      <c r="I233" s="0" t="n">
        <f aca="false">AVERAGE(F226:F232)</f>
        <v>151.188571428571</v>
      </c>
      <c r="J233" s="0" t="n">
        <f aca="false">AVERAGE(F230:F232)</f>
        <v>152.796666666667</v>
      </c>
      <c r="K233" s="10" t="n">
        <v>63.94</v>
      </c>
      <c r="L233" s="9" t="n">
        <f aca="false">(K233-K232)/K232</f>
        <v>-0.0146401602712283</v>
      </c>
      <c r="M233" s="10" t="n">
        <v>68.45</v>
      </c>
      <c r="N233" s="9" t="n">
        <f aca="false">(M233-M232)/M232</f>
        <v>-0.0311394196744516</v>
      </c>
      <c r="O233" s="0" t="n">
        <v>2.36</v>
      </c>
      <c r="P233" s="9" t="n">
        <f aca="false">(O233-O232)/O232</f>
        <v>0.0128755364806866</v>
      </c>
      <c r="Q233" s="10" t="n">
        <v>2.62</v>
      </c>
      <c r="R233" s="9" t="n">
        <f aca="false">(Q233-Q232)/Q232</f>
        <v>0.0355731225296444</v>
      </c>
      <c r="S233" s="10" t="n">
        <v>5.02</v>
      </c>
      <c r="T233" s="9" t="n">
        <f aca="false">(S233-S232)/S232</f>
        <v>0.0244897959183672</v>
      </c>
      <c r="U233" s="13" t="n">
        <v>0.35</v>
      </c>
      <c r="V233" s="9" t="n">
        <f aca="false">(U233-U232)/U232</f>
        <v>0.590909090909084</v>
      </c>
      <c r="W233" s="0" t="n">
        <v>1.3362</v>
      </c>
      <c r="X233" s="23" t="n">
        <f aca="false">(W233-W232)/W232</f>
        <v>-0.00595149531319745</v>
      </c>
      <c r="Y233" s="0" t="n">
        <v>1.6507</v>
      </c>
      <c r="Z233" s="24" t="n">
        <f aca="false">(Y233-Y232)/Y232</f>
        <v>-0.00187447091546734</v>
      </c>
    </row>
    <row r="234" customFormat="false" ht="13.8" hidden="false" customHeight="false" outlineLevel="0" collapsed="false">
      <c r="A234" s="8" t="n">
        <v>39244</v>
      </c>
      <c r="B234" s="0" t="n">
        <v>116.61</v>
      </c>
      <c r="C234" s="9" t="n">
        <f aca="false">(B234-B233)/B233</f>
        <v>0.0119760479041916</v>
      </c>
      <c r="D234" s="0" t="n">
        <v>13.94</v>
      </c>
      <c r="E234" s="9" t="n">
        <f aca="false">(D234-D233)/D233</f>
        <v>-0.0606469002695418</v>
      </c>
      <c r="F234" s="0" t="n">
        <v>153.07</v>
      </c>
      <c r="G234" s="9" t="n">
        <f aca="false">(F234-F233)/F233</f>
        <v>0.0134401483050848</v>
      </c>
      <c r="H234" s="0" t="n">
        <f aca="false">AVERAGE(F220:F233)</f>
        <v>147.401428571429</v>
      </c>
      <c r="I234" s="0" t="n">
        <f aca="false">AVERAGE(F227:F233)</f>
        <v>151.534285714286</v>
      </c>
      <c r="J234" s="0" t="n">
        <f aca="false">AVERAGE(F231:F233)</f>
        <v>152.27</v>
      </c>
      <c r="K234" s="10" t="n">
        <v>65.9</v>
      </c>
      <c r="L234" s="9" t="n">
        <f aca="false">(K234-K233)/K233</f>
        <v>0.0306537378792619</v>
      </c>
      <c r="M234" s="10" t="n">
        <v>71.23</v>
      </c>
      <c r="N234" s="9" t="n">
        <f aca="false">(M234-M233)/M233</f>
        <v>0.0406135865595325</v>
      </c>
      <c r="O234" s="0" t="n">
        <v>2.4</v>
      </c>
      <c r="P234" s="9" t="n">
        <f aca="false">(O234-O233)/O233</f>
        <v>0.0169491525423727</v>
      </c>
      <c r="Q234" s="10" t="n">
        <v>2.73</v>
      </c>
      <c r="R234" s="9" t="n">
        <f aca="false">(Q234-Q233)/Q233</f>
        <v>0.0419847328244274</v>
      </c>
      <c r="S234" s="10" t="n">
        <v>5.2</v>
      </c>
      <c r="T234" s="9" t="n">
        <f aca="false">(S234-S233)/S233</f>
        <v>0.0358565737051794</v>
      </c>
      <c r="U234" s="13" t="n">
        <v>0.67</v>
      </c>
      <c r="V234" s="9" t="n">
        <f aca="false">(U234-U233)/U233</f>
        <v>0.914285714285716</v>
      </c>
      <c r="W234" s="0" t="n">
        <v>1.3378</v>
      </c>
      <c r="X234" s="23" t="n">
        <f aca="false">(W234-W233)/W233</f>
        <v>0.00119742553509957</v>
      </c>
      <c r="Y234" s="0" t="n">
        <v>1.6625</v>
      </c>
      <c r="Z234" s="24" t="n">
        <f aca="false">(Y234-Y233)/Y233</f>
        <v>0.00714848246198584</v>
      </c>
    </row>
    <row r="235" customFormat="false" ht="13.8" hidden="false" customHeight="false" outlineLevel="0" collapsed="false">
      <c r="A235" s="8" t="n">
        <v>39251</v>
      </c>
      <c r="B235" s="0" t="n">
        <v>113.56</v>
      </c>
      <c r="C235" s="9" t="n">
        <f aca="false">(B235-B234)/B234</f>
        <v>-0.0261555612726181</v>
      </c>
      <c r="D235" s="0" t="n">
        <v>15.75</v>
      </c>
      <c r="E235" s="9" t="n">
        <f aca="false">(D235-D234)/D234</f>
        <v>0.129842180774749</v>
      </c>
      <c r="F235" s="0" t="n">
        <v>150.55</v>
      </c>
      <c r="G235" s="9" t="n">
        <f aca="false">(F235-F234)/F234</f>
        <v>-0.0164630561181158</v>
      </c>
      <c r="H235" s="0" t="n">
        <f aca="false">AVERAGE(F221:F234)</f>
        <v>148.279285714286</v>
      </c>
      <c r="I235" s="0" t="n">
        <f aca="false">AVERAGE(F228:F234)</f>
        <v>152.04</v>
      </c>
      <c r="J235" s="0" t="n">
        <f aca="false">AVERAGE(F232:F234)</f>
        <v>152.73</v>
      </c>
      <c r="K235" s="10" t="n">
        <v>66.62</v>
      </c>
      <c r="L235" s="9" t="n">
        <f aca="false">(K235-K234)/K234</f>
        <v>0.0109256449165402</v>
      </c>
      <c r="M235" s="10" t="n">
        <v>69.89</v>
      </c>
      <c r="N235" s="9" t="n">
        <f aca="false">(M235-M234)/M234</f>
        <v>-0.0188122981889654</v>
      </c>
      <c r="O235" s="0" t="n">
        <v>2.38</v>
      </c>
      <c r="P235" s="9" t="n">
        <f aca="false">(O235-O234)/O234</f>
        <v>-0.00833333333333334</v>
      </c>
      <c r="Q235" s="10" t="n">
        <v>2.66</v>
      </c>
      <c r="R235" s="9" t="n">
        <f aca="false">(Q235-Q234)/Q234</f>
        <v>-0.0256410256410256</v>
      </c>
      <c r="S235" s="10" t="n">
        <v>5.14</v>
      </c>
      <c r="T235" s="9" t="n">
        <f aca="false">(S235-S234)/S234</f>
        <v>-0.0115384615384616</v>
      </c>
      <c r="U235" s="13" t="n">
        <v>0.58</v>
      </c>
      <c r="V235" s="9" t="n">
        <f aca="false">(U235-U234)/U234</f>
        <v>-0.134328358208955</v>
      </c>
      <c r="W235" s="0" t="n">
        <v>1.3365</v>
      </c>
      <c r="X235" s="23" t="n">
        <f aca="false">(W235-W234)/W234</f>
        <v>-0.000971744655404454</v>
      </c>
      <c r="Y235" s="0" t="n">
        <v>1.6548</v>
      </c>
      <c r="Z235" s="24" t="n">
        <f aca="false">(Y235-Y234)/Y234</f>
        <v>-0.00463157894736845</v>
      </c>
    </row>
    <row r="236" customFormat="false" ht="13.8" hidden="false" customHeight="false" outlineLevel="0" collapsed="false">
      <c r="A236" s="8" t="n">
        <v>39258</v>
      </c>
      <c r="B236" s="0" t="n">
        <v>112.89</v>
      </c>
      <c r="C236" s="9" t="n">
        <f aca="false">(B236-B235)/B235</f>
        <v>-0.00589996477632971</v>
      </c>
      <c r="D236" s="0" t="n">
        <v>16.23</v>
      </c>
      <c r="E236" s="9" t="n">
        <f aca="false">(D236-D235)/D235</f>
        <v>0.0304761904761905</v>
      </c>
      <c r="F236" s="0" t="n">
        <v>150.43</v>
      </c>
      <c r="G236" s="9" t="n">
        <f aca="false">(F236-F235)/F235</f>
        <v>-0.000797077382929289</v>
      </c>
      <c r="H236" s="0" t="n">
        <f aca="false">AVERAGE(F222:F235)</f>
        <v>149.137857142857</v>
      </c>
      <c r="I236" s="0" t="n">
        <f aca="false">AVERAGE(F229:F235)</f>
        <v>151.987142857143</v>
      </c>
      <c r="J236" s="0" t="n">
        <f aca="false">AVERAGE(F233:F235)</f>
        <v>151.553333333333</v>
      </c>
      <c r="K236" s="10" t="n">
        <v>68.78</v>
      </c>
      <c r="L236" s="9" t="n">
        <f aca="false">(K236-K235)/K235</f>
        <v>0.0324226958871209</v>
      </c>
      <c r="M236" s="10" t="n">
        <v>71.78</v>
      </c>
      <c r="N236" s="9" t="n">
        <f aca="false">(M236-M235)/M235</f>
        <v>0.0270424953498355</v>
      </c>
      <c r="O236" s="0" t="n">
        <v>2.34</v>
      </c>
      <c r="P236" s="9" t="n">
        <f aca="false">(O236-O235)/O235</f>
        <v>-0.0168067226890756</v>
      </c>
      <c r="Q236" s="10" t="n">
        <v>2.63</v>
      </c>
      <c r="R236" s="9" t="n">
        <f aca="false">(Q236-Q235)/Q235</f>
        <v>-0.0112781954887219</v>
      </c>
      <c r="S236" s="10" t="n">
        <v>5.09</v>
      </c>
      <c r="T236" s="9" t="n">
        <f aca="false">(S236-S235)/S235</f>
        <v>-0.00972762645914393</v>
      </c>
      <c r="U236" s="13" t="n">
        <v>0.42</v>
      </c>
      <c r="V236" s="9" t="n">
        <f aca="false">(U236-U235)/U235</f>
        <v>-0.275862068965517</v>
      </c>
      <c r="W236" s="0" t="n">
        <v>1.3534</v>
      </c>
      <c r="X236" s="23" t="n">
        <f aca="false">(W236-W235)/W235</f>
        <v>0.0126449682005237</v>
      </c>
      <c r="Y236" s="0" t="n">
        <v>1.6529</v>
      </c>
      <c r="Z236" s="24" t="n">
        <f aca="false">(Y236-Y235)/Y235</f>
        <v>-0.00114817500604303</v>
      </c>
    </row>
    <row r="237" customFormat="false" ht="13.8" hidden="false" customHeight="false" outlineLevel="0" collapsed="false">
      <c r="A237" s="8" t="n">
        <v>39265</v>
      </c>
      <c r="B237" s="0" t="n">
        <v>114.37</v>
      </c>
      <c r="C237" s="9" t="n">
        <f aca="false">(B237-B236)/B236</f>
        <v>0.0131101071839844</v>
      </c>
      <c r="D237" s="0" t="n">
        <v>14.72</v>
      </c>
      <c r="E237" s="9" t="n">
        <f aca="false">(D237-D236)/D236</f>
        <v>-0.0930375847196549</v>
      </c>
      <c r="F237" s="0" t="n">
        <v>152.98</v>
      </c>
      <c r="G237" s="9" t="n">
        <f aca="false">(F237-F236)/F236</f>
        <v>0.0169514059695538</v>
      </c>
      <c r="H237" s="0" t="n">
        <f aca="false">AVERAGE(F223:F236)</f>
        <v>149.640714285714</v>
      </c>
      <c r="I237" s="0" t="n">
        <f aca="false">AVERAGE(F230:F236)</f>
        <v>151.925714285714</v>
      </c>
      <c r="J237" s="0" t="n">
        <f aca="false">AVERAGE(F234:F236)</f>
        <v>151.35</v>
      </c>
      <c r="K237" s="10" t="n">
        <v>69.13</v>
      </c>
      <c r="L237" s="9" t="n">
        <f aca="false">(K237-K236)/K236</f>
        <v>0.00508868857225929</v>
      </c>
      <c r="M237" s="10" t="n">
        <v>71.76</v>
      </c>
      <c r="N237" s="9" t="n">
        <f aca="false">(M237-M236)/M236</f>
        <v>-0.000278629144608471</v>
      </c>
      <c r="O237" s="0" t="n">
        <v>2.35</v>
      </c>
      <c r="P237" s="9" t="n">
        <f aca="false">(O237-O236)/O236</f>
        <v>0.00427350427350437</v>
      </c>
      <c r="Q237" s="10" t="n">
        <v>2.65</v>
      </c>
      <c r="R237" s="9" t="n">
        <f aca="false">(Q237-Q236)/Q236</f>
        <v>0.00760456273764259</v>
      </c>
      <c r="S237" s="10" t="n">
        <v>5.1</v>
      </c>
      <c r="T237" s="9" t="n">
        <f aca="false">(S237-S236)/S236</f>
        <v>0.00196463654223964</v>
      </c>
      <c r="U237" s="13" t="n">
        <v>0.29</v>
      </c>
      <c r="V237" s="9" t="n">
        <f aca="false">(U237-U236)/U236</f>
        <v>-0.309523809523809</v>
      </c>
      <c r="W237" s="0" t="n">
        <v>1.3621</v>
      </c>
      <c r="X237" s="23" t="n">
        <f aca="false">(W237-W236)/W236</f>
        <v>0.0064282547657752</v>
      </c>
      <c r="Y237" s="0" t="n">
        <v>1.6597</v>
      </c>
      <c r="Z237" s="24" t="n">
        <f aca="false">(Y237-Y236)/Y236</f>
        <v>0.00411398148708326</v>
      </c>
    </row>
    <row r="238" customFormat="false" ht="13.8" hidden="false" customHeight="false" outlineLevel="0" collapsed="false">
      <c r="A238" s="8" t="n">
        <v>39272</v>
      </c>
      <c r="B238" s="0" t="n">
        <v>115.05</v>
      </c>
      <c r="C238" s="9" t="n">
        <f aca="false">(B238-B237)/B237</f>
        <v>0.00594561510885715</v>
      </c>
      <c r="D238" s="0" t="n">
        <v>15.15</v>
      </c>
      <c r="E238" s="9" t="n">
        <f aca="false">(D238-D237)/D237</f>
        <v>0.0292119565217391</v>
      </c>
      <c r="F238" s="0" t="n">
        <v>154.85</v>
      </c>
      <c r="G238" s="9" t="n">
        <f aca="false">(F238-F237)/F237</f>
        <v>0.0122238201072036</v>
      </c>
      <c r="H238" s="0" t="n">
        <f aca="false">AVERAGE(F224:F237)</f>
        <v>150.425</v>
      </c>
      <c r="I238" s="0" t="n">
        <f aca="false">AVERAGE(F231:F237)</f>
        <v>151.977142857143</v>
      </c>
      <c r="J238" s="0" t="n">
        <f aca="false">AVERAGE(F235:F237)</f>
        <v>151.32</v>
      </c>
      <c r="K238" s="10" t="n">
        <v>71.78</v>
      </c>
      <c r="L238" s="9" t="n">
        <f aca="false">(K238-K237)/K237</f>
        <v>0.0383335744249965</v>
      </c>
      <c r="M238" s="10" t="n">
        <v>74.79</v>
      </c>
      <c r="N238" s="9" t="n">
        <f aca="false">(M238-M237)/M237</f>
        <v>0.0422240802675585</v>
      </c>
      <c r="O238" s="0" t="n">
        <v>2.36</v>
      </c>
      <c r="P238" s="9" t="n">
        <f aca="false">(O238-O237)/O237</f>
        <v>0.00425531914893608</v>
      </c>
      <c r="Q238" s="10" t="n">
        <v>2.64</v>
      </c>
      <c r="R238" s="9" t="n">
        <f aca="false">(Q238-Q237)/Q237</f>
        <v>-0.0037735849056603</v>
      </c>
      <c r="S238" s="10" t="n">
        <v>5.1</v>
      </c>
      <c r="T238" s="9" t="n">
        <f aca="false">(S238-S237)/S237</f>
        <v>0</v>
      </c>
      <c r="U238" s="13" t="n">
        <v>0.279999999999999</v>
      </c>
      <c r="V238" s="9" t="n">
        <f aca="false">(U238-U237)/U237</f>
        <v>-0.034482758620692</v>
      </c>
      <c r="W238" s="0" t="n">
        <v>1.3785</v>
      </c>
      <c r="X238" s="23" t="n">
        <f aca="false">(W238-W237)/W237</f>
        <v>0.012040231994714</v>
      </c>
      <c r="Y238" s="0" t="n">
        <v>1.6582</v>
      </c>
      <c r="Z238" s="24" t="n">
        <f aca="false">(Y238-Y237)/Y237</f>
        <v>-0.000903777791167113</v>
      </c>
    </row>
    <row r="239" customFormat="false" ht="13.8" hidden="false" customHeight="false" outlineLevel="0" collapsed="false">
      <c r="A239" s="8" t="n">
        <v>39279</v>
      </c>
      <c r="B239" s="0" t="n">
        <v>111.47</v>
      </c>
      <c r="C239" s="9" t="n">
        <f aca="false">(B239-B238)/B238</f>
        <v>-0.0311169056931769</v>
      </c>
      <c r="D239" s="0" t="n">
        <v>16.95</v>
      </c>
      <c r="E239" s="9" t="n">
        <f aca="false">(D239-D238)/D238</f>
        <v>0.118811881188119</v>
      </c>
      <c r="F239" s="0" t="n">
        <v>153.5</v>
      </c>
      <c r="G239" s="9" t="n">
        <f aca="false">(F239-F238)/F238</f>
        <v>-0.00871811430416529</v>
      </c>
      <c r="H239" s="0" t="n">
        <f aca="false">AVERAGE(F225:F238)</f>
        <v>151.182857142857</v>
      </c>
      <c r="I239" s="0" t="n">
        <f aca="false">AVERAGE(F232:F238)</f>
        <v>152.428571428571</v>
      </c>
      <c r="J239" s="0" t="n">
        <f aca="false">AVERAGE(F236:F238)</f>
        <v>152.753333333333</v>
      </c>
      <c r="K239" s="10" t="n">
        <v>72.79</v>
      </c>
      <c r="L239" s="9" t="n">
        <f aca="false">(K239-K238)/K238</f>
        <v>0.0140707718027306</v>
      </c>
      <c r="M239" s="10" t="n">
        <v>77.76</v>
      </c>
      <c r="N239" s="9" t="n">
        <f aca="false">(M239-M238)/M238</f>
        <v>0.0397111913357401</v>
      </c>
      <c r="O239" s="0" t="n">
        <v>2.29</v>
      </c>
      <c r="P239" s="9" t="n">
        <f aca="false">(O239-O238)/O238</f>
        <v>-0.0296610169491527</v>
      </c>
      <c r="Q239" s="10" t="n">
        <v>2.64</v>
      </c>
      <c r="R239" s="9" t="n">
        <f aca="false">(Q239-Q238)/Q238</f>
        <v>0</v>
      </c>
      <c r="S239" s="10" t="n">
        <v>5.03</v>
      </c>
      <c r="T239" s="9" t="n">
        <f aca="false">(S239-S238)/S238</f>
        <v>-0.0137254901960783</v>
      </c>
      <c r="U239" s="13" t="n">
        <v>0.2</v>
      </c>
      <c r="V239" s="9" t="n">
        <f aca="false">(U239-U238)/U238</f>
        <v>-0.285714285714283</v>
      </c>
      <c r="W239" s="0" t="n">
        <v>1.3824</v>
      </c>
      <c r="X239" s="23" t="n">
        <f aca="false">(W239-W238)/W238</f>
        <v>0.002829162132753</v>
      </c>
      <c r="Y239" s="0" t="n">
        <v>1.6601</v>
      </c>
      <c r="Z239" s="24" t="n">
        <f aca="false">(Y239-Y238)/Y238</f>
        <v>0.00114582076950911</v>
      </c>
    </row>
    <row r="240" customFormat="false" ht="13.8" hidden="false" customHeight="false" outlineLevel="0" collapsed="false">
      <c r="A240" s="8" t="n">
        <v>39286</v>
      </c>
      <c r="B240" s="0" t="n">
        <v>105.57</v>
      </c>
      <c r="C240" s="9" t="n">
        <f aca="false">(B240-B239)/B239</f>
        <v>-0.0529290392033732</v>
      </c>
      <c r="D240" s="0" t="n">
        <v>24.17</v>
      </c>
      <c r="E240" s="9" t="n">
        <f aca="false">(D240-D239)/D239</f>
        <v>0.425958702064897</v>
      </c>
      <c r="F240" s="0" t="n">
        <v>145.11</v>
      </c>
      <c r="G240" s="9" t="n">
        <f aca="false">(F240-F239)/F239</f>
        <v>-0.054657980456026</v>
      </c>
      <c r="H240" s="0" t="n">
        <f aca="false">AVERAGE(F226:F239)</f>
        <v>151.767142857143</v>
      </c>
      <c r="I240" s="0" t="n">
        <f aca="false">AVERAGE(F233:F239)</f>
        <v>152.345714285714</v>
      </c>
      <c r="J240" s="0" t="n">
        <f aca="false">AVERAGE(F237:F239)</f>
        <v>153.776666666667</v>
      </c>
      <c r="K240" s="10" t="n">
        <v>74.92</v>
      </c>
      <c r="L240" s="9" t="n">
        <f aca="false">(K240-K239)/K239</f>
        <v>0.029262261299629</v>
      </c>
      <c r="M240" s="10" t="n">
        <v>78.24</v>
      </c>
      <c r="N240" s="9" t="n">
        <f aca="false">(M240-M239)/M239</f>
        <v>0.00617283950617271</v>
      </c>
      <c r="O240" s="0" t="n">
        <v>2.21</v>
      </c>
      <c r="P240" s="9" t="n">
        <f aca="false">(O240-O239)/O239</f>
        <v>-0.0349344978165935</v>
      </c>
      <c r="Q240" s="10" t="n">
        <v>2.53</v>
      </c>
      <c r="R240" s="9" t="n">
        <f aca="false">(Q240-Q239)/Q239</f>
        <v>-0.0416666666666668</v>
      </c>
      <c r="S240" s="10" t="n">
        <v>4.88</v>
      </c>
      <c r="T240" s="9" t="n">
        <f aca="false">(S240-S239)/S239</f>
        <v>-0.0298210735586482</v>
      </c>
      <c r="U240" s="13" t="n">
        <v>0.0599999999999996</v>
      </c>
      <c r="V240" s="9" t="n">
        <f aca="false">(U240-U239)/U239</f>
        <v>-0.700000000000002</v>
      </c>
      <c r="W240" s="0" t="n">
        <v>1.3641</v>
      </c>
      <c r="X240" s="23" t="n">
        <f aca="false">(W240-W239)/W239</f>
        <v>-0.0132378472222222</v>
      </c>
      <c r="Y240" s="0" t="n">
        <v>1.6483</v>
      </c>
      <c r="Z240" s="24" t="n">
        <f aca="false">(Y240-Y239)/Y239</f>
        <v>-0.00710800554183472</v>
      </c>
    </row>
    <row r="241" customFormat="false" ht="13.8" hidden="false" customHeight="false" outlineLevel="0" collapsed="false">
      <c r="A241" s="8" t="n">
        <v>39293</v>
      </c>
      <c r="B241" s="0" t="n">
        <v>102.78</v>
      </c>
      <c r="C241" s="9" t="n">
        <f aca="false">(B241-B240)/B240</f>
        <v>-0.0264279624893435</v>
      </c>
      <c r="D241" s="0" t="n">
        <v>25.16</v>
      </c>
      <c r="E241" s="9" t="n">
        <f aca="false">(D241-D240)/D240</f>
        <v>0.0409598676044683</v>
      </c>
      <c r="F241" s="0" t="n">
        <v>143.8</v>
      </c>
      <c r="G241" s="9" t="n">
        <f aca="false">(F241-F240)/F240</f>
        <v>-0.00902763420853147</v>
      </c>
      <c r="H241" s="0" t="n">
        <f aca="false">AVERAGE(F227:F240)</f>
        <v>151.516428571429</v>
      </c>
      <c r="I241" s="0" t="n">
        <f aca="false">AVERAGE(F234:F240)</f>
        <v>151.498571428571</v>
      </c>
      <c r="J241" s="0" t="n">
        <f aca="false">AVERAGE(F238:F240)</f>
        <v>151.153333333333</v>
      </c>
      <c r="K241" s="10" t="n">
        <v>75.15</v>
      </c>
      <c r="L241" s="9" t="n">
        <f aca="false">(K241-K240)/K240</f>
        <v>0.00306994127068879</v>
      </c>
      <c r="M241" s="10" t="n">
        <v>76.66</v>
      </c>
      <c r="N241" s="9" t="n">
        <f aca="false">(M241-M240)/M240</f>
        <v>-0.0201942740286298</v>
      </c>
      <c r="O241" s="0" t="n">
        <v>2.16</v>
      </c>
      <c r="P241" s="9" t="n">
        <f aca="false">(O241-O240)/O240</f>
        <v>-0.0226244343891406</v>
      </c>
      <c r="Q241" s="10" t="n">
        <v>2.44</v>
      </c>
      <c r="R241" s="9" t="n">
        <f aca="false">(Q241-Q240)/Q240</f>
        <v>-0.0355731225296442</v>
      </c>
      <c r="S241" s="10" t="n">
        <v>4.77</v>
      </c>
      <c r="T241" s="9" t="n">
        <f aca="false">(S241-S240)/S240</f>
        <v>-0.0225409836065574</v>
      </c>
      <c r="U241" s="13" t="n">
        <v>0</v>
      </c>
      <c r="V241" s="9" t="n">
        <f aca="false">(U241-U240)/U240</f>
        <v>-1</v>
      </c>
      <c r="W241" s="0" t="n">
        <v>1.3815</v>
      </c>
      <c r="X241" s="23" t="n">
        <f aca="false">(W241-W240)/W240</f>
        <v>0.0127556630745545</v>
      </c>
      <c r="Y241" s="0" t="n">
        <v>1.6416</v>
      </c>
      <c r="Z241" s="24" t="n">
        <f aca="false">(Y241-Y240)/Y240</f>
        <v>-0.00406479403021304</v>
      </c>
    </row>
    <row r="242" customFormat="false" ht="13.8" hidden="false" customHeight="false" outlineLevel="0" collapsed="false">
      <c r="A242" s="8" t="n">
        <v>39300</v>
      </c>
      <c r="B242" s="0" t="n">
        <v>105.92</v>
      </c>
      <c r="C242" s="9" t="n">
        <f aca="false">(B242-B241)/B241</f>
        <v>0.0305506907958747</v>
      </c>
      <c r="D242" s="0" t="n">
        <v>28.3</v>
      </c>
      <c r="E242" s="9" t="n">
        <f aca="false">(D242-D241)/D241</f>
        <v>0.124801271860095</v>
      </c>
      <c r="F242" s="0" t="n">
        <v>144.71</v>
      </c>
      <c r="G242" s="9" t="n">
        <f aca="false">(F242-F241)/F241</f>
        <v>0.00632823365785811</v>
      </c>
      <c r="H242" s="0" t="n">
        <f aca="false">AVERAGE(F228:F241)</f>
        <v>151.107142857143</v>
      </c>
      <c r="I242" s="0" t="n">
        <f aca="false">AVERAGE(F235:F241)</f>
        <v>150.174285714286</v>
      </c>
      <c r="J242" s="0" t="n">
        <f aca="false">AVERAGE(F239:F241)</f>
        <v>147.47</v>
      </c>
      <c r="K242" s="10" t="n">
        <v>76.75</v>
      </c>
      <c r="L242" s="9" t="n">
        <f aca="false">(K242-K241)/K241</f>
        <v>0.0212907518296739</v>
      </c>
      <c r="M242" s="10" t="n">
        <v>76.34</v>
      </c>
      <c r="N242" s="9" t="n">
        <f aca="false">(M242-M241)/M241</f>
        <v>-0.004174276024002</v>
      </c>
      <c r="O242" s="0" t="n">
        <v>2.09</v>
      </c>
      <c r="P242" s="9" t="n">
        <f aca="false">(O242-O241)/O241</f>
        <v>-0.0324074074074073</v>
      </c>
      <c r="Q242" s="10" t="n">
        <v>2.51</v>
      </c>
      <c r="R242" s="9" t="n">
        <f aca="false">(Q242-Q241)/Q241</f>
        <v>0.0286885245901639</v>
      </c>
      <c r="S242" s="10" t="n">
        <v>4.79</v>
      </c>
      <c r="T242" s="9" t="n">
        <f aca="false">(S242-S241)/S241</f>
        <v>0.00419287211740052</v>
      </c>
      <c r="U242" s="13" t="n">
        <v>0.0999999999999996</v>
      </c>
      <c r="V242" s="9" t="e">
        <f aca="false">(U242-U241)/U241</f>
        <v>#DIV/0!</v>
      </c>
      <c r="W242" s="0" t="n">
        <v>1.3695</v>
      </c>
      <c r="X242" s="23" t="n">
        <f aca="false">(W242-W241)/W241</f>
        <v>-0.00868621064060804</v>
      </c>
      <c r="Y242" s="0" t="n">
        <v>1.6394</v>
      </c>
      <c r="Z242" s="24" t="n">
        <f aca="false">(Y242-Y241)/Y241</f>
        <v>-0.00134015594541896</v>
      </c>
    </row>
    <row r="243" customFormat="false" ht="13.8" hidden="false" customHeight="false" outlineLevel="0" collapsed="false">
      <c r="A243" s="8" t="n">
        <v>39307</v>
      </c>
      <c r="B243" s="0" t="n">
        <v>110.17</v>
      </c>
      <c r="C243" s="9" t="n">
        <f aca="false">(B243-B242)/B242</f>
        <v>0.0401246223564955</v>
      </c>
      <c r="D243" s="0" t="n">
        <v>29.99</v>
      </c>
      <c r="E243" s="9" t="n">
        <f aca="false">(D243-D242)/D242</f>
        <v>0.0597173144876324</v>
      </c>
      <c r="F243" s="0" t="n">
        <v>144.71</v>
      </c>
      <c r="G243" s="9" t="n">
        <f aca="false">(F243-F242)/F242</f>
        <v>0</v>
      </c>
      <c r="H243" s="0" t="n">
        <f aca="false">AVERAGE(F229:F242)</f>
        <v>150.663571428571</v>
      </c>
      <c r="I243" s="0" t="n">
        <f aca="false">AVERAGE(F236:F242)</f>
        <v>149.34</v>
      </c>
      <c r="J243" s="0" t="n">
        <f aca="false">AVERAGE(F240:F242)</f>
        <v>144.54</v>
      </c>
      <c r="K243" s="10" t="n">
        <v>71.92</v>
      </c>
      <c r="L243" s="9" t="n">
        <f aca="false">(K243-K242)/K242</f>
        <v>-0.0629315960912052</v>
      </c>
      <c r="M243" s="10" t="n">
        <v>70.7</v>
      </c>
      <c r="N243" s="9" t="n">
        <f aca="false">(M243-M242)/M242</f>
        <v>-0.0738800104794341</v>
      </c>
      <c r="O243" s="0" t="n">
        <v>2.04</v>
      </c>
      <c r="P243" s="9" t="n">
        <f aca="false">(O243-O242)/O242</f>
        <v>-0.0239234449760765</v>
      </c>
      <c r="Q243" s="10" t="n">
        <v>2.38</v>
      </c>
      <c r="R243" s="9" t="n">
        <f aca="false">(Q243-Q242)/Q242</f>
        <v>-0.0517928286852589</v>
      </c>
      <c r="S243" s="10" t="n">
        <v>4.7</v>
      </c>
      <c r="T243" s="9" t="n">
        <f aca="false">(S243-S242)/S242</f>
        <v>-0.0187891440501044</v>
      </c>
      <c r="U243" s="13" t="n">
        <v>0.59</v>
      </c>
      <c r="V243" s="9" t="n">
        <f aca="false">(U243-U242)/U242</f>
        <v>4.90000000000002</v>
      </c>
      <c r="W243" s="0" t="n">
        <v>1.3474</v>
      </c>
      <c r="X243" s="23" t="n">
        <f aca="false">(W243-W242)/W242</f>
        <v>-0.0161372763782402</v>
      </c>
      <c r="Y243" s="0" t="n">
        <v>1.627</v>
      </c>
      <c r="Z243" s="24" t="n">
        <f aca="false">(Y243-Y242)/Y242</f>
        <v>-0.0075637428327438</v>
      </c>
    </row>
    <row r="244" customFormat="false" ht="13.8" hidden="false" customHeight="false" outlineLevel="0" collapsed="false">
      <c r="A244" s="8" t="n">
        <v>39314</v>
      </c>
      <c r="B244" s="0" t="n">
        <v>109.09</v>
      </c>
      <c r="C244" s="9" t="n">
        <f aca="false">(B244-B243)/B243</f>
        <v>-0.00980303167831532</v>
      </c>
      <c r="D244" s="0" t="n">
        <v>20.72</v>
      </c>
      <c r="E244" s="9" t="n">
        <f aca="false">(D244-D243)/D243</f>
        <v>-0.309103034344782</v>
      </c>
      <c r="F244" s="0" t="n">
        <v>148.33</v>
      </c>
      <c r="G244" s="9" t="n">
        <f aca="false">(F244-F243)/F243</f>
        <v>0.0250155483380554</v>
      </c>
      <c r="H244" s="0" t="n">
        <f aca="false">AVERAGE(F230:F243)</f>
        <v>150.224285714286</v>
      </c>
      <c r="I244" s="0" t="n">
        <f aca="false">AVERAGE(F237:F243)</f>
        <v>148.522857142857</v>
      </c>
      <c r="J244" s="0" t="n">
        <f aca="false">AVERAGE(F241:F243)</f>
        <v>144.406666666667</v>
      </c>
      <c r="K244" s="10" t="n">
        <v>72.05</v>
      </c>
      <c r="L244" s="9" t="n">
        <f aca="false">(K244-K243)/K243</f>
        <v>0.00180756395995544</v>
      </c>
      <c r="M244" s="10" t="n">
        <v>70.09</v>
      </c>
      <c r="N244" s="9" t="n">
        <f aca="false">(M244-M243)/M243</f>
        <v>-0.00862800565770862</v>
      </c>
      <c r="O244" s="0" t="n">
        <v>2.01</v>
      </c>
      <c r="P244" s="9" t="n">
        <f aca="false">(O244-O243)/O243</f>
        <v>-0.0147058823529413</v>
      </c>
      <c r="Q244" s="10" t="n">
        <v>2.33</v>
      </c>
      <c r="R244" s="9" t="n">
        <f aca="false">(Q244-Q243)/Q243</f>
        <v>-0.0210084033613445</v>
      </c>
      <c r="S244" s="10" t="n">
        <v>4.62</v>
      </c>
      <c r="T244" s="9" t="n">
        <f aca="false">(S244-S243)/S243</f>
        <v>-0.0170212765957447</v>
      </c>
      <c r="U244" s="13" t="n">
        <v>1</v>
      </c>
      <c r="V244" s="9" t="n">
        <f aca="false">(U244-U243)/U243</f>
        <v>0.694915254237288</v>
      </c>
      <c r="W244" s="0" t="n">
        <v>1.3668</v>
      </c>
      <c r="X244" s="23" t="n">
        <f aca="false">(W244-W243)/W243</f>
        <v>0.0143981000445303</v>
      </c>
      <c r="Y244" s="0" t="n">
        <v>1.6418</v>
      </c>
      <c r="Z244" s="24" t="n">
        <f aca="false">(Y244-Y243)/Y243</f>
        <v>0.00909649661954513</v>
      </c>
    </row>
    <row r="245" customFormat="false" ht="13.8" hidden="false" customHeight="false" outlineLevel="0" collapsed="false">
      <c r="A245" s="8" t="n">
        <v>39321</v>
      </c>
      <c r="B245" s="0" t="n">
        <v>106.04</v>
      </c>
      <c r="C245" s="9" t="n">
        <f aca="false">(B245-B244)/B244</f>
        <v>-0.027958566321386</v>
      </c>
      <c r="D245" s="0" t="n">
        <v>23.38</v>
      </c>
      <c r="E245" s="9" t="n">
        <f aca="false">(D245-D244)/D244</f>
        <v>0.128378378378378</v>
      </c>
      <c r="F245" s="0" t="n">
        <v>147.59</v>
      </c>
      <c r="G245" s="9" t="n">
        <f aca="false">(F245-F244)/F244</f>
        <v>-0.00498887615452039</v>
      </c>
      <c r="H245" s="0" t="n">
        <f aca="false">AVERAGE(F231:F244)</f>
        <v>149.917857142857</v>
      </c>
      <c r="I245" s="0" t="n">
        <f aca="false">AVERAGE(F238:F244)</f>
        <v>147.858571428571</v>
      </c>
      <c r="J245" s="0" t="n">
        <f aca="false">AVERAGE(F242:F244)</f>
        <v>145.916666666667</v>
      </c>
      <c r="K245" s="10" t="n">
        <v>70.19</v>
      </c>
      <c r="L245" s="9" t="n">
        <f aca="false">(K245-K244)/K244</f>
        <v>-0.0258154059680777</v>
      </c>
      <c r="M245" s="10" t="n">
        <v>68.44</v>
      </c>
      <c r="N245" s="9" t="n">
        <f aca="false">(M245-M244)/M244</f>
        <v>-0.0235411613639607</v>
      </c>
      <c r="O245" s="0" t="n">
        <v>1.98</v>
      </c>
      <c r="P245" s="9" t="n">
        <f aca="false">(O245-O244)/O244</f>
        <v>-0.014925373134328</v>
      </c>
      <c r="Q245" s="10" t="n">
        <v>2.3</v>
      </c>
      <c r="R245" s="9" t="n">
        <f aca="false">(Q245-Q244)/Q244</f>
        <v>-0.0128755364806868</v>
      </c>
      <c r="S245" s="10" t="n">
        <v>4.55</v>
      </c>
      <c r="T245" s="9" t="n">
        <f aca="false">(S245-S244)/S244</f>
        <v>-0.0151515151515152</v>
      </c>
      <c r="U245" s="13" t="n">
        <v>0.49</v>
      </c>
      <c r="V245" s="9" t="n">
        <f aca="false">(U245-U244)/U244</f>
        <v>-0.51</v>
      </c>
      <c r="W245" s="0" t="n">
        <v>1.3638</v>
      </c>
      <c r="X245" s="23" t="n">
        <f aca="false">(W245-W244)/W244</f>
        <v>-0.0021949078138719</v>
      </c>
      <c r="Y245" s="0" t="n">
        <v>1.6462</v>
      </c>
      <c r="Z245" s="24" t="n">
        <f aca="false">(Y245-Y244)/Y244</f>
        <v>0.00267998538189803</v>
      </c>
    </row>
    <row r="246" customFormat="false" ht="13.8" hidden="false" customHeight="false" outlineLevel="0" collapsed="false">
      <c r="A246" s="8" t="n">
        <v>39329</v>
      </c>
      <c r="B246" s="0" t="n">
        <v>103.27</v>
      </c>
      <c r="C246" s="9" t="n">
        <f aca="false">(B246-B245)/B245</f>
        <v>-0.0261222180309318</v>
      </c>
      <c r="D246" s="0" t="n">
        <v>26.23</v>
      </c>
      <c r="E246" s="9" t="n">
        <f aca="false">(D246-D245)/D245</f>
        <v>0.121899059024808</v>
      </c>
      <c r="F246" s="0" t="n">
        <v>146.07</v>
      </c>
      <c r="G246" s="9" t="n">
        <f aca="false">(F246-F245)/F245</f>
        <v>-0.010298800731757</v>
      </c>
      <c r="H246" s="0" t="n">
        <f aca="false">AVERAGE(F232:F245)</f>
        <v>149.625</v>
      </c>
      <c r="I246" s="0" t="n">
        <f aca="false">AVERAGE(F239:F245)</f>
        <v>146.821428571429</v>
      </c>
      <c r="J246" s="0" t="n">
        <f aca="false">AVERAGE(F243:F245)</f>
        <v>146.876666666667</v>
      </c>
      <c r="K246" s="10" t="n">
        <v>72.93</v>
      </c>
      <c r="L246" s="9" t="n">
        <f aca="false">(K246-K245)/K245</f>
        <v>0.0390368998432827</v>
      </c>
      <c r="M246" s="10" t="n">
        <v>70.55</v>
      </c>
      <c r="N246" s="9" t="n">
        <f aca="false">(M246-M245)/M245</f>
        <v>0.0308299240210403</v>
      </c>
      <c r="O246" s="0" t="n">
        <v>1.96</v>
      </c>
      <c r="P246" s="9" t="n">
        <f aca="false">(O246-O245)/O245</f>
        <v>-0.0101010101010103</v>
      </c>
      <c r="Q246" s="10" t="n">
        <v>2.2</v>
      </c>
      <c r="R246" s="9" t="n">
        <f aca="false">(Q246-Q245)/Q245</f>
        <v>-0.0434782608695651</v>
      </c>
      <c r="S246" s="10" t="n">
        <v>4.48</v>
      </c>
      <c r="T246" s="9" t="n">
        <f aca="false">(S246-S245)/S245</f>
        <v>-0.0153846153846153</v>
      </c>
      <c r="U246" s="13" t="n">
        <v>0.300000000000001</v>
      </c>
      <c r="V246" s="9" t="n">
        <f aca="false">(U246-U245)/U245</f>
        <v>-0.387755102040815</v>
      </c>
      <c r="W246" s="0" t="n">
        <v>1.3769</v>
      </c>
      <c r="X246" s="23" t="n">
        <f aca="false">(W246-W245)/W245</f>
        <v>0.00960551400498615</v>
      </c>
      <c r="Y246" s="0" t="n">
        <v>1.6354</v>
      </c>
      <c r="Z246" s="24" t="n">
        <f aca="false">(Y246-Y245)/Y245</f>
        <v>-0.0065605637225124</v>
      </c>
    </row>
    <row r="247" customFormat="false" ht="13.8" hidden="false" customHeight="false" outlineLevel="0" collapsed="false">
      <c r="A247" s="8" t="n">
        <v>39335</v>
      </c>
      <c r="B247" s="0" t="n">
        <v>106</v>
      </c>
      <c r="C247" s="9" t="n">
        <f aca="false">(B247-B246)/B246</f>
        <v>0.0264355572770408</v>
      </c>
      <c r="D247" s="0" t="n">
        <v>24.92</v>
      </c>
      <c r="E247" s="9" t="n">
        <f aca="false">(D247-D246)/D246</f>
        <v>-0.0499428135722455</v>
      </c>
      <c r="F247" s="0" t="n">
        <v>148.9</v>
      </c>
      <c r="G247" s="9" t="n">
        <f aca="false">(F247-F246)/F246</f>
        <v>0.0193742726090232</v>
      </c>
      <c r="H247" s="0" t="n">
        <f aca="false">AVERAGE(F233:F246)</f>
        <v>149.052857142857</v>
      </c>
      <c r="I247" s="0" t="n">
        <f aca="false">AVERAGE(F240:F246)</f>
        <v>145.76</v>
      </c>
      <c r="J247" s="0" t="n">
        <f aca="false">AVERAGE(F244:F246)</f>
        <v>147.33</v>
      </c>
      <c r="K247" s="10" t="n">
        <v>75.96</v>
      </c>
      <c r="L247" s="9" t="n">
        <f aca="false">(K247-K246)/K246</f>
        <v>0.041546688605512</v>
      </c>
      <c r="M247" s="10" t="n">
        <v>75.06</v>
      </c>
      <c r="N247" s="9" t="n">
        <f aca="false">(M247-M246)/M246</f>
        <v>0.0639262934089299</v>
      </c>
      <c r="O247" s="0" t="n">
        <v>2.04</v>
      </c>
      <c r="P247" s="9" t="n">
        <f aca="false">(O247-O246)/O246</f>
        <v>0.0408163265306123</v>
      </c>
      <c r="Q247" s="10" t="n">
        <v>2.08</v>
      </c>
      <c r="R247" s="9" t="n">
        <f aca="false">(Q247-Q246)/Q246</f>
        <v>-0.0545454545454546</v>
      </c>
      <c r="S247" s="10" t="n">
        <v>4.42</v>
      </c>
      <c r="T247" s="9" t="n">
        <f aca="false">(S247-S246)/S246</f>
        <v>-0.0133928571428573</v>
      </c>
      <c r="U247" s="13" t="n">
        <v>0.49</v>
      </c>
      <c r="V247" s="9" t="n">
        <f aca="false">(U247-U246)/U246</f>
        <v>0.633333333333328</v>
      </c>
      <c r="W247" s="0" t="n">
        <v>1.3877</v>
      </c>
      <c r="X247" s="23" t="n">
        <f aca="false">(W247-W246)/W246</f>
        <v>0.00784370687776884</v>
      </c>
      <c r="Y247" s="0" t="n">
        <v>1.6497</v>
      </c>
      <c r="Z247" s="24" t="n">
        <f aca="false">(Y247-Y246)/Y246</f>
        <v>0.00874403815580258</v>
      </c>
    </row>
    <row r="248" customFormat="false" ht="13.8" hidden="false" customHeight="false" outlineLevel="0" collapsed="false">
      <c r="A248" s="8" t="n">
        <v>39342</v>
      </c>
      <c r="B248" s="0" t="n">
        <v>108.48</v>
      </c>
      <c r="C248" s="9" t="n">
        <f aca="false">(B248-B247)/B247</f>
        <v>0.0233962264150944</v>
      </c>
      <c r="D248" s="0" t="n">
        <v>19</v>
      </c>
      <c r="E248" s="9" t="n">
        <f aca="false">(D248-D247)/D247</f>
        <v>-0.237560192616372</v>
      </c>
      <c r="F248" s="0" t="n">
        <v>151.97</v>
      </c>
      <c r="G248" s="9" t="n">
        <f aca="false">(F248-F247)/F247</f>
        <v>0.0206178643384822</v>
      </c>
      <c r="H248" s="0" t="n">
        <f aca="false">AVERAGE(F234:F247)</f>
        <v>148.9</v>
      </c>
      <c r="I248" s="0" t="n">
        <f aca="false">AVERAGE(F241:F247)</f>
        <v>146.301428571429</v>
      </c>
      <c r="J248" s="0" t="n">
        <f aca="false">AVERAGE(F245:F247)</f>
        <v>147.52</v>
      </c>
      <c r="K248" s="10" t="n">
        <v>78.95</v>
      </c>
      <c r="L248" s="9" t="n">
        <f aca="false">(K248-K247)/K247</f>
        <v>0.0393628225381781</v>
      </c>
      <c r="M248" s="10" t="n">
        <v>76.89</v>
      </c>
      <c r="N248" s="9" t="n">
        <f aca="false">(M248-M247)/M247</f>
        <v>0.0243804956035172</v>
      </c>
      <c r="O248" s="0" t="n">
        <v>2.11</v>
      </c>
      <c r="P248" s="9" t="n">
        <f aca="false">(O248-O247)/O247</f>
        <v>0.034313725490196</v>
      </c>
      <c r="Q248" s="10" t="n">
        <v>2.14</v>
      </c>
      <c r="R248" s="9" t="n">
        <f aca="false">(Q248-Q247)/Q247</f>
        <v>0.0288461538461539</v>
      </c>
      <c r="S248" s="10" t="n">
        <v>4.57</v>
      </c>
      <c r="T248" s="9" t="n">
        <f aca="false">(S248-S247)/S247</f>
        <v>0.0339366515837105</v>
      </c>
      <c r="U248" s="13" t="n">
        <v>0.75</v>
      </c>
      <c r="V248" s="9" t="n">
        <f aca="false">(U248-U247)/U247</f>
        <v>0.530612244897961</v>
      </c>
      <c r="W248" s="0" t="n">
        <v>1.4082</v>
      </c>
      <c r="X248" s="23" t="n">
        <f aca="false">(W248-W247)/W247</f>
        <v>0.0147726453844491</v>
      </c>
      <c r="Y248" s="0" t="n">
        <v>1.6513</v>
      </c>
      <c r="Z248" s="24" t="n">
        <f aca="false">(Y248-Y247)/Y247</f>
        <v>0.000969873310299005</v>
      </c>
    </row>
    <row r="249" customFormat="false" ht="13.8" hidden="false" customHeight="false" outlineLevel="0" collapsed="false">
      <c r="A249" s="8" t="n">
        <v>39349</v>
      </c>
      <c r="B249" s="0" t="n">
        <v>106</v>
      </c>
      <c r="C249" s="9" t="n">
        <f aca="false">(B249-B248)/B248</f>
        <v>-0.0228613569321534</v>
      </c>
      <c r="D249" s="0" t="n">
        <v>18</v>
      </c>
      <c r="E249" s="9" t="n">
        <f aca="false">(D249-D248)/D248</f>
        <v>-0.0526315789473684</v>
      </c>
      <c r="F249" s="0" t="n">
        <v>152.58</v>
      </c>
      <c r="G249" s="9" t="n">
        <f aca="false">(F249-F248)/F248</f>
        <v>0.00401395012173464</v>
      </c>
      <c r="H249" s="0" t="n">
        <f aca="false">AVERAGE(F235:F248)</f>
        <v>148.821428571429</v>
      </c>
      <c r="I249" s="0" t="n">
        <f aca="false">AVERAGE(F242:F248)</f>
        <v>147.468571428571</v>
      </c>
      <c r="J249" s="0" t="n">
        <f aca="false">AVERAGE(F246:F248)</f>
        <v>148.98</v>
      </c>
      <c r="K249" s="10" t="n">
        <v>82.26</v>
      </c>
      <c r="L249" s="9" t="n">
        <f aca="false">(K249-K248)/K248</f>
        <v>0.0419252691576948</v>
      </c>
      <c r="M249" s="10" t="n">
        <v>78.17</v>
      </c>
      <c r="N249" s="9" t="n">
        <f aca="false">(M249-M248)/M248</f>
        <v>0.0166471582780596</v>
      </c>
      <c r="O249" s="0" t="n">
        <v>2.1</v>
      </c>
      <c r="P249" s="9" t="n">
        <f aca="false">(O249-O248)/O248</f>
        <v>-0.0047393364928911</v>
      </c>
      <c r="Q249" s="10" t="n">
        <v>2.16</v>
      </c>
      <c r="R249" s="9" t="n">
        <f aca="false">(Q249-Q248)/Q248</f>
        <v>0.00934579439252337</v>
      </c>
      <c r="S249" s="10" t="n">
        <v>4.61</v>
      </c>
      <c r="T249" s="9" t="n">
        <f aca="false">(S249-S248)/S248</f>
        <v>0.00875273522975931</v>
      </c>
      <c r="U249" s="13" t="n">
        <v>0.92</v>
      </c>
      <c r="V249" s="9" t="n">
        <f aca="false">(U249-U248)/U248</f>
        <v>0.226666666666667</v>
      </c>
      <c r="W249" s="0" t="n">
        <v>1.4268</v>
      </c>
      <c r="X249" s="23" t="n">
        <f aca="false">(W249-W248)/W248</f>
        <v>0.0132083510864935</v>
      </c>
      <c r="Y249" s="0" t="n">
        <v>1.6601</v>
      </c>
      <c r="Z249" s="24" t="n">
        <f aca="false">(Y249-Y248)/Y248</f>
        <v>0.00532913462120748</v>
      </c>
    </row>
    <row r="250" customFormat="false" ht="13.8" hidden="false" customHeight="false" outlineLevel="0" collapsed="false">
      <c r="A250" s="8" t="n">
        <v>39356</v>
      </c>
      <c r="B250" s="0" t="n">
        <v>110.5</v>
      </c>
      <c r="C250" s="9" t="n">
        <f aca="false">(B250-B249)/B249</f>
        <v>0.0424528301886792</v>
      </c>
      <c r="D250" s="0" t="n">
        <v>16.91</v>
      </c>
      <c r="E250" s="9" t="n">
        <f aca="false">(D250-D249)/D249</f>
        <v>-0.0605555555555555</v>
      </c>
      <c r="F250" s="0" t="n">
        <v>155.85</v>
      </c>
      <c r="G250" s="9" t="n">
        <f aca="false">(F250-F249)/F249</f>
        <v>0.0214313802595359</v>
      </c>
      <c r="H250" s="0" t="n">
        <f aca="false">AVERAGE(F236:F249)</f>
        <v>148.966428571429</v>
      </c>
      <c r="I250" s="0" t="n">
        <f aca="false">AVERAGE(F243:F249)</f>
        <v>148.592857142857</v>
      </c>
      <c r="J250" s="0" t="n">
        <f aca="false">AVERAGE(F247:F249)</f>
        <v>151.15</v>
      </c>
      <c r="K250" s="10" t="n">
        <v>81.7</v>
      </c>
      <c r="L250" s="9" t="n">
        <f aca="false">(K250-K249)/K249</f>
        <v>-0.00680768295647948</v>
      </c>
      <c r="M250" s="10" t="n">
        <v>78.15</v>
      </c>
      <c r="N250" s="9" t="n">
        <f aca="false">(M250-M249)/M249</f>
        <v>-0.000255852628885711</v>
      </c>
      <c r="O250" s="0" t="n">
        <v>2.13</v>
      </c>
      <c r="P250" s="9" t="n">
        <f aca="false">(O250-O249)/O249</f>
        <v>0.0142857142857144</v>
      </c>
      <c r="Q250" s="10" t="n">
        <v>2.12</v>
      </c>
      <c r="R250" s="9" t="n">
        <f aca="false">(Q250-Q249)/Q249</f>
        <v>-0.0185185185185185</v>
      </c>
      <c r="S250" s="10" t="n">
        <v>4.57</v>
      </c>
      <c r="T250" s="9" t="n">
        <f aca="false">(S250-S249)/S249</f>
        <v>-0.0086767895878525</v>
      </c>
      <c r="U250" s="13" t="n">
        <v>0.71</v>
      </c>
      <c r="V250" s="9" t="n">
        <f aca="false">(U250-U249)/U249</f>
        <v>-0.228260869565217</v>
      </c>
      <c r="W250" s="0" t="n">
        <v>1.4149</v>
      </c>
      <c r="X250" s="23" t="n">
        <f aca="false">(W250-W249)/W249</f>
        <v>-0.00834034202410991</v>
      </c>
      <c r="Y250" s="0" t="n">
        <v>1.6648</v>
      </c>
      <c r="Z250" s="24" t="n">
        <f aca="false">(Y250-Y249)/Y249</f>
        <v>0.00283115474971396</v>
      </c>
    </row>
    <row r="251" customFormat="false" ht="13.8" hidden="false" customHeight="false" outlineLevel="0" collapsed="false">
      <c r="A251" s="8" t="n">
        <v>39363</v>
      </c>
      <c r="B251" s="0" t="n">
        <v>107.97</v>
      </c>
      <c r="C251" s="9" t="n">
        <f aca="false">(B251-B250)/B250</f>
        <v>-0.02289592760181</v>
      </c>
      <c r="D251" s="0" t="n">
        <v>17.73</v>
      </c>
      <c r="E251" s="9" t="n">
        <f aca="false">(D251-D250)/D250</f>
        <v>0.0484920165582496</v>
      </c>
      <c r="F251" s="0" t="n">
        <v>156.33</v>
      </c>
      <c r="G251" s="9" t="n">
        <f aca="false">(F251-F250)/F250</f>
        <v>0.0030798845043312</v>
      </c>
      <c r="H251" s="0" t="n">
        <f aca="false">AVERAGE(F237:F250)</f>
        <v>149.353571428571</v>
      </c>
      <c r="I251" s="0" t="n">
        <f aca="false">AVERAGE(F244:F250)</f>
        <v>150.184285714286</v>
      </c>
      <c r="J251" s="0" t="n">
        <f aca="false">AVERAGE(F248:F250)</f>
        <v>153.466666666667</v>
      </c>
      <c r="K251" s="10" t="n">
        <v>80.59</v>
      </c>
      <c r="L251" s="9" t="n">
        <f aca="false">(K251-K250)/K250</f>
        <v>-0.0135862913096695</v>
      </c>
      <c r="M251" s="10" t="n">
        <v>77.98</v>
      </c>
      <c r="N251" s="9" t="n">
        <f aca="false">(M251-M250)/M250</f>
        <v>-0.00217530390275114</v>
      </c>
      <c r="O251" s="0" t="n">
        <v>2.18</v>
      </c>
      <c r="P251" s="9" t="n">
        <f aca="false">(O251-O250)/O250</f>
        <v>0.0234741784037558</v>
      </c>
      <c r="Q251" s="10" t="n">
        <v>2.2</v>
      </c>
      <c r="R251" s="9" t="n">
        <f aca="false">(Q251-Q250)/Q250</f>
        <v>0.0377358490566038</v>
      </c>
      <c r="S251" s="10" t="n">
        <v>4.67</v>
      </c>
      <c r="T251" s="9" t="n">
        <f aca="false">(S251-S250)/S250</f>
        <v>0.0218818380743982</v>
      </c>
      <c r="U251" s="13" t="n">
        <v>0.67</v>
      </c>
      <c r="V251" s="9" t="n">
        <f aca="false">(U251-U250)/U250</f>
        <v>-0.0563380281690147</v>
      </c>
      <c r="W251" s="0" t="n">
        <v>1.4173</v>
      </c>
      <c r="X251" s="23" t="n">
        <f aca="false">(W251-W250)/W250</f>
        <v>0.00169623294932501</v>
      </c>
      <c r="Y251" s="0" t="n">
        <v>1.6789</v>
      </c>
      <c r="Z251" s="24" t="n">
        <f aca="false">(Y251-Y250)/Y250</f>
        <v>0.00846948582412302</v>
      </c>
    </row>
    <row r="252" customFormat="false" ht="13.8" hidden="false" customHeight="false" outlineLevel="0" collapsed="false">
      <c r="A252" s="8" t="n">
        <v>39370</v>
      </c>
      <c r="B252" s="0" t="n">
        <v>100.42</v>
      </c>
      <c r="C252" s="9" t="n">
        <f aca="false">(B252-B251)/B251</f>
        <v>-0.0699268315272761</v>
      </c>
      <c r="D252" s="0" t="n">
        <v>22.96</v>
      </c>
      <c r="E252" s="9" t="n">
        <f aca="false">(D252-D251)/D251</f>
        <v>0.294980259447264</v>
      </c>
      <c r="F252" s="0" t="n">
        <v>149.67</v>
      </c>
      <c r="G252" s="9" t="n">
        <f aca="false">(F252-F251)/F251</f>
        <v>-0.042602187679908</v>
      </c>
      <c r="H252" s="0" t="n">
        <f aca="false">AVERAGE(F238:F251)</f>
        <v>149.592857142857</v>
      </c>
      <c r="I252" s="0" t="n">
        <f aca="false">AVERAGE(F245:F251)</f>
        <v>151.327142857143</v>
      </c>
      <c r="J252" s="0" t="n">
        <f aca="false">AVERAGE(F249:F251)</f>
        <v>154.92</v>
      </c>
      <c r="K252" s="10" t="n">
        <v>81.46</v>
      </c>
      <c r="L252" s="9" t="n">
        <f aca="false">(K252-K251)/K251</f>
        <v>0.0107953840426851</v>
      </c>
      <c r="M252" s="10" t="n">
        <v>78.85</v>
      </c>
      <c r="N252" s="9" t="n">
        <f aca="false">(M252-M251)/M251</f>
        <v>0.0111567068479096</v>
      </c>
      <c r="O252" s="0" t="n">
        <v>2.21</v>
      </c>
      <c r="P252" s="9" t="n">
        <f aca="false">(O252-O251)/O251</f>
        <v>0.0137614678899086</v>
      </c>
      <c r="Q252" s="10" t="n">
        <v>2.02</v>
      </c>
      <c r="R252" s="9" t="n">
        <f aca="false">(Q252-Q251)/Q251</f>
        <v>-0.0818181818181819</v>
      </c>
      <c r="S252" s="10" t="n">
        <v>4.57</v>
      </c>
      <c r="T252" s="9" t="n">
        <f aca="false">(S252-S251)/S251</f>
        <v>-0.0214132762312633</v>
      </c>
      <c r="U252" s="13" t="n">
        <v>0.64</v>
      </c>
      <c r="V252" s="9" t="n">
        <f aca="false">(U252-U251)/U251</f>
        <v>-0.0447761194029848</v>
      </c>
      <c r="W252" s="0" t="n">
        <v>1.4295</v>
      </c>
      <c r="X252" s="23" t="n">
        <f aca="false">(W252-W251)/W251</f>
        <v>0.00860791646087631</v>
      </c>
      <c r="Y252" s="0" t="n">
        <v>1.6693</v>
      </c>
      <c r="Z252" s="24" t="n">
        <f aca="false">(Y252-Y251)/Y251</f>
        <v>-0.00571802966227891</v>
      </c>
    </row>
    <row r="253" customFormat="false" ht="13.8" hidden="false" customHeight="false" outlineLevel="0" collapsed="false">
      <c r="A253" s="8" t="n">
        <v>39377</v>
      </c>
      <c r="B253" s="0" t="n">
        <v>103.5</v>
      </c>
      <c r="C253" s="9" t="n">
        <f aca="false">(B253-B252)/B252</f>
        <v>0.0306711810396335</v>
      </c>
      <c r="D253" s="0" t="n">
        <v>19.56</v>
      </c>
      <c r="E253" s="9" t="n">
        <f aca="false">(D253-D252)/D252</f>
        <v>-0.14808362369338</v>
      </c>
      <c r="F253" s="0" t="n">
        <v>153.62</v>
      </c>
      <c r="G253" s="9" t="n">
        <f aca="false">(F253-F252)/F252</f>
        <v>0.0263913944010157</v>
      </c>
      <c r="H253" s="0" t="n">
        <f aca="false">AVERAGE(F239:F252)</f>
        <v>149.222857142857</v>
      </c>
      <c r="I253" s="0" t="n">
        <f aca="false">AVERAGE(F246:F252)</f>
        <v>151.624285714286</v>
      </c>
      <c r="J253" s="0" t="n">
        <f aca="false">AVERAGE(F250:F252)</f>
        <v>153.95</v>
      </c>
      <c r="K253" s="10" t="n">
        <v>87.8</v>
      </c>
      <c r="L253" s="9" t="n">
        <f aca="false">(K253-K252)/K252</f>
        <v>0.0778296096243556</v>
      </c>
      <c r="M253" s="10" t="n">
        <v>84.29</v>
      </c>
      <c r="N253" s="9" t="n">
        <f aca="false">(M253-M252)/M252</f>
        <v>0.0689917564996831</v>
      </c>
      <c r="O253" s="0" t="n">
        <v>2.2</v>
      </c>
      <c r="P253" s="9" t="n">
        <f aca="false">(O253-O252)/O252</f>
        <v>-0.00452488687782816</v>
      </c>
      <c r="Q253" s="10" t="n">
        <v>1.84</v>
      </c>
      <c r="R253" s="9" t="n">
        <f aca="false">(Q253-Q252)/Q252</f>
        <v>-0.0891089108910892</v>
      </c>
      <c r="S253" s="10" t="n">
        <v>4.39</v>
      </c>
      <c r="T253" s="9" t="n">
        <f aca="false">(S253-S252)/S252</f>
        <v>-0.039387308533917</v>
      </c>
      <c r="U253" s="13" t="n">
        <v>0.54</v>
      </c>
      <c r="V253" s="9" t="n">
        <f aca="false">(U253-U252)/U252</f>
        <v>-0.156250000000001</v>
      </c>
      <c r="W253" s="0" t="n">
        <v>1.4385</v>
      </c>
      <c r="X253" s="23" t="n">
        <f aca="false">(W253-W252)/W252</f>
        <v>0.00629590766002091</v>
      </c>
      <c r="Y253" s="0" t="n">
        <v>1.675</v>
      </c>
      <c r="Z253" s="24" t="n">
        <f aca="false">(Y253-Y252)/Y252</f>
        <v>0.00341460492421976</v>
      </c>
    </row>
    <row r="254" customFormat="false" ht="13.8" hidden="false" customHeight="false" outlineLevel="0" collapsed="false">
      <c r="A254" s="8" t="n">
        <v>39384</v>
      </c>
      <c r="B254" s="0" t="n">
        <v>96.54</v>
      </c>
      <c r="C254" s="9" t="n">
        <f aca="false">(B254-B253)/B253</f>
        <v>-0.0672463768115941</v>
      </c>
      <c r="D254" s="0" t="n">
        <v>23.01</v>
      </c>
      <c r="E254" s="9" t="n">
        <f aca="false">(D254-D253)/D253</f>
        <v>0.17638036809816</v>
      </c>
      <c r="F254" s="0" t="n">
        <v>151.2</v>
      </c>
      <c r="G254" s="9" t="n">
        <f aca="false">(F254-F253)/F253</f>
        <v>-0.0157531571409974</v>
      </c>
      <c r="H254" s="0" t="n">
        <f aca="false">AVERAGE(F240:F253)</f>
        <v>149.231428571429</v>
      </c>
      <c r="I254" s="0" t="n">
        <f aca="false">AVERAGE(F247:F253)</f>
        <v>152.702857142857</v>
      </c>
      <c r="J254" s="0" t="n">
        <f aca="false">AVERAGE(F251:F253)</f>
        <v>153.206666666667</v>
      </c>
      <c r="K254" s="10" t="n">
        <v>89.23</v>
      </c>
      <c r="L254" s="9" t="n">
        <f aca="false">(K254-K253)/K253</f>
        <v>0.0162870159453304</v>
      </c>
      <c r="M254" s="10" t="n">
        <v>83.72</v>
      </c>
      <c r="N254" s="9" t="n">
        <f aca="false">(M254-M253)/M253</f>
        <v>-0.00676236801518576</v>
      </c>
      <c r="O254" s="0" t="n">
        <v>2.27</v>
      </c>
      <c r="P254" s="9" t="n">
        <f aca="false">(O254-O253)/O253</f>
        <v>0.0318181818181817</v>
      </c>
      <c r="Q254" s="10" t="n">
        <v>1.77</v>
      </c>
      <c r="R254" s="9" t="n">
        <f aca="false">(Q254-Q253)/Q253</f>
        <v>-0.0380434782608695</v>
      </c>
      <c r="S254" s="10" t="n">
        <v>4.39</v>
      </c>
      <c r="T254" s="9" t="n">
        <f aca="false">(S254-S253)/S253</f>
        <v>0</v>
      </c>
      <c r="U254" s="13" t="n">
        <v>0.62</v>
      </c>
      <c r="V254" s="9" t="n">
        <f aca="false">(U254-U253)/U253</f>
        <v>0.148148148148149</v>
      </c>
      <c r="W254" s="0" t="n">
        <v>1.45</v>
      </c>
      <c r="X254" s="23" t="n">
        <f aca="false">(W254-W253)/W253</f>
        <v>0.007994438651373</v>
      </c>
      <c r="Y254" s="0" t="n">
        <v>1.6726</v>
      </c>
      <c r="Z254" s="24" t="n">
        <f aca="false">(Y254-Y253)/Y253</f>
        <v>-0.0014328358208955</v>
      </c>
    </row>
    <row r="255" customFormat="false" ht="13.8" hidden="false" customHeight="false" outlineLevel="0" collapsed="false">
      <c r="A255" s="8" t="n">
        <v>39391</v>
      </c>
      <c r="B255" s="0" t="n">
        <v>93.61</v>
      </c>
      <c r="C255" s="9" t="n">
        <f aca="false">(B255-B254)/B254</f>
        <v>-0.0303501139424074</v>
      </c>
      <c r="D255" s="0" t="n">
        <v>28.5</v>
      </c>
      <c r="E255" s="9" t="n">
        <f aca="false">(D255-D254)/D254</f>
        <v>0.238591916558018</v>
      </c>
      <c r="F255" s="0" t="n">
        <v>145.14</v>
      </c>
      <c r="G255" s="9" t="n">
        <f aca="false">(F255-F254)/F254</f>
        <v>-0.0400793650793651</v>
      </c>
      <c r="H255" s="0" t="n">
        <f aca="false">AVERAGE(F241:F254)</f>
        <v>149.666428571429</v>
      </c>
      <c r="I255" s="0" t="n">
        <f aca="false">AVERAGE(F248:F254)</f>
        <v>153.031428571429</v>
      </c>
      <c r="J255" s="0" t="n">
        <f aca="false">AVERAGE(F252:F254)</f>
        <v>151.496666666667</v>
      </c>
      <c r="K255" s="10" t="n">
        <v>93.46</v>
      </c>
      <c r="L255" s="9" t="n">
        <f aca="false">(K255-K254)/K254</f>
        <v>0.0474055810825954</v>
      </c>
      <c r="M255" s="10" t="n">
        <v>90.42</v>
      </c>
      <c r="N255" s="9" t="n">
        <f aca="false">(M255-M254)/M254</f>
        <v>0.0800286669851888</v>
      </c>
      <c r="O255" s="0" t="n">
        <v>2.37</v>
      </c>
      <c r="P255" s="9" t="n">
        <f aca="false">(O255-O254)/O254</f>
        <v>0.0440528634361234</v>
      </c>
      <c r="Q255" s="10" t="n">
        <v>1.52</v>
      </c>
      <c r="R255" s="9" t="n">
        <f aca="false">(Q255-Q254)/Q254</f>
        <v>-0.141242937853107</v>
      </c>
      <c r="S255" s="10" t="n">
        <v>4.32</v>
      </c>
      <c r="T255" s="9" t="n">
        <f aca="false">(S255-S254)/S254</f>
        <v>-0.0159453302961274</v>
      </c>
      <c r="U255" s="13" t="n">
        <v>0.89</v>
      </c>
      <c r="V255" s="9" t="n">
        <f aca="false">(U255-U254)/U254</f>
        <v>0.435483870967743</v>
      </c>
      <c r="W255" s="0" t="n">
        <v>1.4665</v>
      </c>
      <c r="X255" s="23" t="n">
        <f aca="false">(W255-W254)/W254</f>
        <v>0.0113793103448276</v>
      </c>
      <c r="Y255" s="0" t="n">
        <v>1.6492</v>
      </c>
      <c r="Z255" s="24" t="n">
        <f aca="false">(Y255-Y254)/Y254</f>
        <v>-0.0139901949061342</v>
      </c>
    </row>
    <row r="256" customFormat="false" ht="13.8" hidden="false" customHeight="false" outlineLevel="0" collapsed="false">
      <c r="A256" s="8" t="n">
        <v>39398</v>
      </c>
      <c r="B256" s="0" t="n">
        <v>93.42</v>
      </c>
      <c r="C256" s="9" t="n">
        <f aca="false">(B256-B255)/B255</f>
        <v>-0.00202969768187157</v>
      </c>
      <c r="D256" s="0" t="n">
        <v>25.49</v>
      </c>
      <c r="E256" s="9" t="n">
        <f aca="false">(D256-D255)/D255</f>
        <v>-0.105614035087719</v>
      </c>
      <c r="F256" s="0" t="n">
        <v>145.79</v>
      </c>
      <c r="G256" s="9" t="n">
        <f aca="false">(F256-F255)/F255</f>
        <v>0.00447843461485466</v>
      </c>
      <c r="H256" s="0" t="n">
        <f aca="false">AVERAGE(F242:F255)</f>
        <v>149.762142857143</v>
      </c>
      <c r="I256" s="0" t="n">
        <f aca="false">AVERAGE(F249:F255)</f>
        <v>152.055714285714</v>
      </c>
      <c r="J256" s="0" t="n">
        <f aca="false">AVERAGE(F253:F255)</f>
        <v>149.986666666667</v>
      </c>
      <c r="K256" s="10" t="n">
        <v>95.81</v>
      </c>
      <c r="L256" s="9" t="n">
        <f aca="false">(K256-K255)/K255</f>
        <v>0.02514444682217</v>
      </c>
      <c r="M256" s="10" t="n">
        <v>93.54</v>
      </c>
      <c r="N256" s="9" t="n">
        <f aca="false">(M256-M255)/M255</f>
        <v>0.0345056403450565</v>
      </c>
      <c r="O256" s="0" t="n">
        <v>2.34</v>
      </c>
      <c r="P256" s="9" t="n">
        <f aca="false">(O256-O255)/O255</f>
        <v>-0.0126582278481014</v>
      </c>
      <c r="Q256" s="10" t="n">
        <v>1.43</v>
      </c>
      <c r="R256" s="9" t="n">
        <f aca="false">(Q256-Q255)/Q255</f>
        <v>-0.0592105263157895</v>
      </c>
      <c r="S256" s="10" t="n">
        <v>4.22</v>
      </c>
      <c r="T256" s="9" t="n">
        <f aca="false">(S256-S255)/S255</f>
        <v>-0.0231481481481483</v>
      </c>
      <c r="U256" s="13" t="n">
        <v>0.9</v>
      </c>
      <c r="V256" s="9" t="n">
        <f aca="false">(U256-U255)/U255</f>
        <v>0.0112359550561794</v>
      </c>
      <c r="W256" s="0" t="n">
        <v>1.4657</v>
      </c>
      <c r="X256" s="23" t="n">
        <f aca="false">(W256-W255)/W255</f>
        <v>-0.000545516535969936</v>
      </c>
      <c r="Y256" s="0" t="n">
        <v>1.6391</v>
      </c>
      <c r="Z256" s="24" t="n">
        <f aca="false">(Y256-Y255)/Y255</f>
        <v>-0.00612418142129517</v>
      </c>
    </row>
    <row r="257" customFormat="false" ht="13.8" hidden="false" customHeight="false" outlineLevel="0" collapsed="false">
      <c r="A257" s="8" t="n">
        <v>39405</v>
      </c>
      <c r="B257" s="0" t="n">
        <v>92.27</v>
      </c>
      <c r="C257" s="9" t="n">
        <f aca="false">(B257-B256)/B256</f>
        <v>-0.0123099978591309</v>
      </c>
      <c r="D257" s="0" t="n">
        <v>25.96</v>
      </c>
      <c r="E257" s="9" t="n">
        <f aca="false">(D257-D256)/D256</f>
        <v>0.0184386033738722</v>
      </c>
      <c r="F257" s="0" t="n">
        <v>144.13</v>
      </c>
      <c r="G257" s="9" t="n">
        <f aca="false">(F257-F256)/F256</f>
        <v>-0.0113862404828863</v>
      </c>
      <c r="H257" s="0" t="n">
        <f aca="false">AVERAGE(F243:F256)</f>
        <v>149.839285714286</v>
      </c>
      <c r="I257" s="0" t="n">
        <f aca="false">AVERAGE(F250:F256)</f>
        <v>151.085714285714</v>
      </c>
      <c r="J257" s="0" t="n">
        <f aca="false">AVERAGE(F254:F256)</f>
        <v>147.376666666667</v>
      </c>
      <c r="K257" s="10" t="n">
        <v>93.56</v>
      </c>
      <c r="L257" s="9" t="n">
        <f aca="false">(K257-K256)/K256</f>
        <v>-0.0234839787078593</v>
      </c>
      <c r="M257" s="10" t="n">
        <v>90.74</v>
      </c>
      <c r="N257" s="9" t="n">
        <f aca="false">(M257-M256)/M256</f>
        <v>-0.0299337181954245</v>
      </c>
      <c r="O257" s="0" t="n">
        <v>2.3</v>
      </c>
      <c r="P257" s="9" t="n">
        <f aca="false">(O257-O256)/O256</f>
        <v>-0.0170940170940171</v>
      </c>
      <c r="Q257" s="10" t="n">
        <v>1.18</v>
      </c>
      <c r="R257" s="9" t="n">
        <f aca="false">(Q257-Q256)/Q256</f>
        <v>-0.174825174825175</v>
      </c>
      <c r="S257" s="10" t="n">
        <v>4.04</v>
      </c>
      <c r="T257" s="9" t="n">
        <f aca="false">(S257-S256)/S256</f>
        <v>-0.0426540284360189</v>
      </c>
      <c r="U257" s="13" t="n">
        <v>0.87</v>
      </c>
      <c r="V257" s="9" t="n">
        <f aca="false">(U257-U256)/U256</f>
        <v>-0.033333333333333</v>
      </c>
      <c r="W257" s="0" t="n">
        <v>1.4835</v>
      </c>
      <c r="X257" s="23" t="n">
        <f aca="false">(W257-W256)/W256</f>
        <v>0.0121443678788293</v>
      </c>
      <c r="Y257" s="0" t="n">
        <v>1.6351</v>
      </c>
      <c r="Z257" s="24" t="n">
        <f aca="false">(Y257-Y256)/Y256</f>
        <v>-0.00244036361417851</v>
      </c>
    </row>
    <row r="258" customFormat="false" ht="13.8" hidden="false" customHeight="false" outlineLevel="0" collapsed="false">
      <c r="A258" s="8" t="n">
        <v>39412</v>
      </c>
      <c r="B258" s="0" t="n">
        <v>97.17</v>
      </c>
      <c r="C258" s="9" t="n">
        <f aca="false">(B258-B257)/B257</f>
        <v>0.053105017882302</v>
      </c>
      <c r="D258" s="0" t="n">
        <v>22.87</v>
      </c>
      <c r="E258" s="9" t="n">
        <f aca="false">(D258-D257)/D257</f>
        <v>-0.119029275808937</v>
      </c>
      <c r="F258" s="0" t="n">
        <v>148.66</v>
      </c>
      <c r="G258" s="9" t="n">
        <f aca="false">(F258-F257)/F257</f>
        <v>0.0314299590647332</v>
      </c>
      <c r="H258" s="0" t="n">
        <f aca="false">AVERAGE(F244:F257)</f>
        <v>149.797857142857</v>
      </c>
      <c r="I258" s="0" t="n">
        <f aca="false">AVERAGE(F251:F257)</f>
        <v>149.411428571429</v>
      </c>
      <c r="J258" s="0" t="n">
        <f aca="false">AVERAGE(F255:F257)</f>
        <v>145.02</v>
      </c>
      <c r="K258" s="10" t="n">
        <v>97.93</v>
      </c>
      <c r="L258" s="9" t="n">
        <f aca="false">(K258-K257)/K257</f>
        <v>0.0467079948696024</v>
      </c>
      <c r="M258" s="10" t="n">
        <v>94.01</v>
      </c>
      <c r="N258" s="9" t="n">
        <f aca="false">(M258-M257)/M257</f>
        <v>0.0360370288737052</v>
      </c>
      <c r="O258" s="0" t="n">
        <v>2.26</v>
      </c>
      <c r="P258" s="9" t="n">
        <f aca="false">(O258-O257)/O257</f>
        <v>-0.0173913043478259</v>
      </c>
      <c r="Q258" s="10" t="n">
        <v>1.13</v>
      </c>
      <c r="R258" s="9" t="n">
        <f aca="false">(Q258-Q257)/Q257</f>
        <v>-0.0423728813559322</v>
      </c>
      <c r="S258" s="10" t="n">
        <v>3.94</v>
      </c>
      <c r="T258" s="9" t="n">
        <f aca="false">(S258-S257)/S257</f>
        <v>-0.0247524752475248</v>
      </c>
      <c r="U258" s="13" t="n">
        <v>0.92</v>
      </c>
      <c r="V258" s="9" t="n">
        <f aca="false">(U258-U257)/U257</f>
        <v>0.0574712643678159</v>
      </c>
      <c r="W258" s="0" t="n">
        <v>1.4635</v>
      </c>
      <c r="X258" s="23" t="n">
        <f aca="false">(W258-W257)/W257</f>
        <v>-0.0134816312773846</v>
      </c>
      <c r="Y258" s="0" t="n">
        <v>1.6558</v>
      </c>
      <c r="Z258" s="24" t="n">
        <f aca="false">(Y258-Y257)/Y257</f>
        <v>0.0126597761604794</v>
      </c>
    </row>
    <row r="259" customFormat="false" ht="13.8" hidden="false" customHeight="false" outlineLevel="0" collapsed="false">
      <c r="A259" s="8" t="n">
        <v>39419</v>
      </c>
      <c r="B259" s="0" t="n">
        <v>96.48</v>
      </c>
      <c r="C259" s="9" t="n">
        <f aca="false">(B259-B258)/B258</f>
        <v>-0.0071009570855202</v>
      </c>
      <c r="D259" s="0" t="n">
        <v>20.85</v>
      </c>
      <c r="E259" s="9" t="n">
        <f aca="false">(D259-D258)/D258</f>
        <v>-0.0883253170091823</v>
      </c>
      <c r="F259" s="0" t="n">
        <v>150.91</v>
      </c>
      <c r="G259" s="9" t="n">
        <f aca="false">(F259-F258)/F258</f>
        <v>0.0151352078568546</v>
      </c>
      <c r="H259" s="0" t="n">
        <f aca="false">AVERAGE(F245:F258)</f>
        <v>149.821428571429</v>
      </c>
      <c r="I259" s="0" t="n">
        <f aca="false">AVERAGE(F252:F258)</f>
        <v>148.315714285714</v>
      </c>
      <c r="J259" s="0" t="n">
        <f aca="false">AVERAGE(F256:F258)</f>
        <v>146.193333333333</v>
      </c>
      <c r="K259" s="10" t="n">
        <v>92.47</v>
      </c>
      <c r="L259" s="9" t="n">
        <f aca="false">(K259-K258)/K258</f>
        <v>-0.0557541100786277</v>
      </c>
      <c r="M259" s="10" t="n">
        <v>92.16</v>
      </c>
      <c r="N259" s="9" t="n">
        <f aca="false">(M259-M258)/M258</f>
        <v>-0.019678757578981</v>
      </c>
      <c r="O259" s="0" t="n">
        <v>2.16</v>
      </c>
      <c r="P259" s="9" t="n">
        <f aca="false">(O259-O258)/O258</f>
        <v>-0.0442477876106195</v>
      </c>
      <c r="Q259" s="10" t="n">
        <v>1.19</v>
      </c>
      <c r="R259" s="9" t="n">
        <f aca="false">(Q259-Q258)/Q258</f>
        <v>0.0530973451327434</v>
      </c>
      <c r="S259" s="10" t="n">
        <v>3.97</v>
      </c>
      <c r="T259" s="9" t="n">
        <f aca="false">(S259-S258)/S258</f>
        <v>0.00761421319796949</v>
      </c>
      <c r="U259" s="13" t="n">
        <v>0.96</v>
      </c>
      <c r="V259" s="9" t="n">
        <f aca="false">(U259-U258)/U258</f>
        <v>0.0434782608695656</v>
      </c>
      <c r="W259" s="0" t="n">
        <v>1.4654</v>
      </c>
      <c r="X259" s="23" t="n">
        <f aca="false">(W259-W258)/W258</f>
        <v>0.00129825760163991</v>
      </c>
      <c r="Y259" s="0" t="n">
        <v>1.6542</v>
      </c>
      <c r="Z259" s="24" t="n">
        <f aca="false">(Y259-Y258)/Y258</f>
        <v>-0.000966300277811358</v>
      </c>
    </row>
    <row r="260" customFormat="false" ht="13.8" hidden="false" customHeight="false" outlineLevel="0" collapsed="false">
      <c r="A260" s="8" t="n">
        <v>39426</v>
      </c>
      <c r="B260" s="0" t="n">
        <v>89.82</v>
      </c>
      <c r="C260" s="9" t="n">
        <f aca="false">(B260-B259)/B259</f>
        <v>-0.0690298507462688</v>
      </c>
      <c r="D260" s="0" t="n">
        <v>23.27</v>
      </c>
      <c r="E260" s="9" t="n">
        <f aca="false">(D260-D259)/D259</f>
        <v>0.116067146282974</v>
      </c>
      <c r="F260" s="0" t="n">
        <v>147.17</v>
      </c>
      <c r="G260" s="9" t="n">
        <f aca="false">(F260-F259)/F259</f>
        <v>-0.0247829832350408</v>
      </c>
      <c r="H260" s="0" t="n">
        <f aca="false">AVERAGE(F246:F259)</f>
        <v>150.058571428571</v>
      </c>
      <c r="I260" s="0" t="n">
        <f aca="false">AVERAGE(F253:F259)</f>
        <v>148.492857142857</v>
      </c>
      <c r="J260" s="0" t="n">
        <f aca="false">AVERAGE(F257:F259)</f>
        <v>147.9</v>
      </c>
      <c r="K260" s="10" t="n">
        <v>88.71</v>
      </c>
      <c r="L260" s="9" t="n">
        <f aca="false">(K260-K259)/K259</f>
        <v>-0.0406618362712232</v>
      </c>
      <c r="M260" s="10" t="n">
        <v>89.09</v>
      </c>
      <c r="N260" s="9" t="n">
        <f aca="false">(M260-M259)/M259</f>
        <v>-0.0333116319444444</v>
      </c>
      <c r="O260" s="0" t="n">
        <v>2.17</v>
      </c>
      <c r="P260" s="9" t="n">
        <f aca="false">(O260-O259)/O259</f>
        <v>0.00462962962962953</v>
      </c>
      <c r="Q260" s="10" t="n">
        <v>1.32</v>
      </c>
      <c r="R260" s="9" t="n">
        <f aca="false">(Q260-Q259)/Q259</f>
        <v>0.109243697478992</v>
      </c>
      <c r="S260" s="10" t="n">
        <v>4.12</v>
      </c>
      <c r="T260" s="9" t="n">
        <f aca="false">(S260-S259)/S259</f>
        <v>0.0377833753148616</v>
      </c>
      <c r="U260" s="13" t="n">
        <v>1.27</v>
      </c>
      <c r="V260" s="9" t="n">
        <f aca="false">(U260-U259)/U259</f>
        <v>0.322916666666666</v>
      </c>
      <c r="W260" s="0" t="n">
        <v>1.4425</v>
      </c>
      <c r="X260" s="23" t="n">
        <f aca="false">(W260-W259)/W259</f>
        <v>-0.0156271325235432</v>
      </c>
      <c r="Y260" s="0" t="n">
        <v>1.6636</v>
      </c>
      <c r="Z260" s="24" t="n">
        <f aca="false">(Y260-Y259)/Y259</f>
        <v>0.00568250513843568</v>
      </c>
    </row>
    <row r="261" customFormat="false" ht="13.8" hidden="false" customHeight="false" outlineLevel="0" collapsed="false">
      <c r="A261" s="8" t="n">
        <v>39433</v>
      </c>
      <c r="B261" s="0" t="n">
        <v>90.17</v>
      </c>
      <c r="C261" s="9" t="n">
        <f aca="false">(B261-B260)/B260</f>
        <v>0.00389668225339578</v>
      </c>
      <c r="D261" s="0" t="n">
        <v>18.47</v>
      </c>
      <c r="E261" s="9" t="n">
        <f aca="false">(D261-D260)/D260</f>
        <v>-0.20627417275462</v>
      </c>
      <c r="F261" s="0" t="n">
        <v>148.13</v>
      </c>
      <c r="G261" s="9" t="n">
        <f aca="false">(F261-F260)/F260</f>
        <v>0.00652306856016857</v>
      </c>
      <c r="H261" s="0" t="n">
        <f aca="false">AVERAGE(F247:F260)</f>
        <v>150.137142857143</v>
      </c>
      <c r="I261" s="0" t="n">
        <f aca="false">AVERAGE(F254:F260)</f>
        <v>147.571428571429</v>
      </c>
      <c r="J261" s="0" t="n">
        <f aca="false">AVERAGE(F258:F260)</f>
        <v>148.913333333333</v>
      </c>
      <c r="K261" s="10" t="n">
        <v>91.18</v>
      </c>
      <c r="L261" s="9" t="n">
        <f aca="false">(K261-K260)/K260</f>
        <v>0.0278435351144179</v>
      </c>
      <c r="M261" s="10" t="n">
        <v>90.24</v>
      </c>
      <c r="N261" s="9" t="n">
        <f aca="false">(M261-M260)/M260</f>
        <v>0.0129082949826018</v>
      </c>
      <c r="O261" s="0" t="n">
        <v>2.25</v>
      </c>
      <c r="P261" s="9" t="n">
        <f aca="false">(O261-O260)/O260</f>
        <v>0.0368663594470046</v>
      </c>
      <c r="Q261" s="10" t="n">
        <v>1.27</v>
      </c>
      <c r="R261" s="9" t="n">
        <f aca="false">(Q261-Q260)/Q260</f>
        <v>-0.0378787878787879</v>
      </c>
      <c r="S261" s="10" t="n">
        <v>4.12</v>
      </c>
      <c r="T261" s="9" t="n">
        <f aca="false">(S261-S260)/S260</f>
        <v>0</v>
      </c>
      <c r="U261" s="13" t="n">
        <v>1.2</v>
      </c>
      <c r="V261" s="9" t="n">
        <f aca="false">(U261-U260)/U260</f>
        <v>-0.0551181102362204</v>
      </c>
      <c r="W261" s="0" t="n">
        <v>1.4357</v>
      </c>
      <c r="X261" s="23" t="n">
        <f aca="false">(W261-W260)/W260</f>
        <v>-0.00471403812824951</v>
      </c>
      <c r="Y261" s="0" t="n">
        <v>1.6602</v>
      </c>
      <c r="Z261" s="24" t="n">
        <f aca="false">(Y261-Y260)/Y260</f>
        <v>-0.00204376051935579</v>
      </c>
    </row>
    <row r="262" customFormat="false" ht="13.8" hidden="false" customHeight="false" outlineLevel="0" collapsed="false">
      <c r="A262" s="8" t="n">
        <v>39440</v>
      </c>
      <c r="B262" s="0" t="n">
        <v>88.32</v>
      </c>
      <c r="C262" s="9" t="n">
        <f aca="false">(B262-B261)/B261</f>
        <v>-0.0205168015969836</v>
      </c>
      <c r="D262" s="0" t="n">
        <v>20.74</v>
      </c>
      <c r="E262" s="9" t="n">
        <f aca="false">(D262-D261)/D261</f>
        <v>0.122902003248511</v>
      </c>
      <c r="F262" s="0" t="n">
        <v>147.3</v>
      </c>
      <c r="G262" s="9" t="n">
        <f aca="false">(F262-F261)/F261</f>
        <v>-0.00560318639033271</v>
      </c>
      <c r="H262" s="0" t="n">
        <f aca="false">AVERAGE(F248:F261)</f>
        <v>150.082142857143</v>
      </c>
      <c r="I262" s="0" t="n">
        <f aca="false">AVERAGE(F255:F261)</f>
        <v>147.132857142857</v>
      </c>
      <c r="J262" s="0" t="n">
        <f aca="false">AVERAGE(F259:F261)</f>
        <v>148.736666666667</v>
      </c>
      <c r="K262" s="10" t="n">
        <v>91.16</v>
      </c>
      <c r="L262" s="9" t="n">
        <f aca="false">(K262-K261)/K261</f>
        <v>-0.00021934634788342</v>
      </c>
      <c r="M262" s="10" t="n">
        <v>90.82</v>
      </c>
      <c r="N262" s="9" t="n">
        <f aca="false">(M262-M261)/M261</f>
        <v>0.00642730496453899</v>
      </c>
      <c r="O262" s="0" t="n">
        <v>2.29</v>
      </c>
      <c r="P262" s="9" t="n">
        <f aca="false">(O262-O261)/O261</f>
        <v>0.0177777777777778</v>
      </c>
      <c r="Q262" s="10" t="n">
        <v>1.34</v>
      </c>
      <c r="R262" s="9" t="n">
        <f aca="false">(Q262-Q261)/Q261</f>
        <v>0.0551181102362205</v>
      </c>
      <c r="S262" s="10" t="n">
        <v>4.21</v>
      </c>
      <c r="T262" s="9" t="n">
        <f aca="false">(S262-S261)/S261</f>
        <v>0.0218446601941747</v>
      </c>
      <c r="U262" s="13" t="n">
        <v>1.04</v>
      </c>
      <c r="V262" s="9" t="n">
        <f aca="false">(U262-U261)/U261</f>
        <v>-0.133333333333333</v>
      </c>
      <c r="W262" s="0" t="n">
        <v>1.4715</v>
      </c>
      <c r="X262" s="23" t="n">
        <f aca="false">(W262-W261)/W261</f>
        <v>0.0249355714982239</v>
      </c>
      <c r="Y262" s="0" t="n">
        <v>1.6576</v>
      </c>
      <c r="Z262" s="24" t="n">
        <f aca="false">(Y262-Y261)/Y261</f>
        <v>-0.00156607637634016</v>
      </c>
    </row>
    <row r="263" customFormat="false" ht="13.8" hidden="false" customHeight="false" outlineLevel="0" collapsed="false">
      <c r="A263" s="8" t="n">
        <v>39447</v>
      </c>
      <c r="B263" s="0" t="n">
        <v>83.25</v>
      </c>
      <c r="C263" s="9" t="n">
        <f aca="false">(B263-B262)/B262</f>
        <v>-0.0574048913043478</v>
      </c>
      <c r="D263" s="0" t="n">
        <v>23.94</v>
      </c>
      <c r="E263" s="9" t="n">
        <f aca="false">(D263-D262)/D262</f>
        <v>0.154291224686596</v>
      </c>
      <c r="F263" s="0" t="n">
        <v>141.31</v>
      </c>
      <c r="G263" s="9" t="n">
        <f aca="false">(F263-F262)/F262</f>
        <v>-0.0406653088934149</v>
      </c>
      <c r="H263" s="0" t="n">
        <f aca="false">AVERAGE(F249:F262)</f>
        <v>149.748571428571</v>
      </c>
      <c r="I263" s="0" t="n">
        <f aca="false">AVERAGE(F256:F262)</f>
        <v>147.441428571429</v>
      </c>
      <c r="J263" s="0" t="n">
        <f aca="false">AVERAGE(F260:F262)</f>
        <v>147.533333333333</v>
      </c>
      <c r="K263" s="10" t="n">
        <v>95.64</v>
      </c>
      <c r="L263" s="9" t="n">
        <f aca="false">(K263-K262)/K262</f>
        <v>0.0491443615620887</v>
      </c>
      <c r="M263" s="10" t="n">
        <v>94.39</v>
      </c>
      <c r="N263" s="9" t="n">
        <f aca="false">(M263-M262)/M262</f>
        <v>0.0393085223519049</v>
      </c>
      <c r="O263" s="0" t="n">
        <v>2.27</v>
      </c>
      <c r="P263" s="9" t="n">
        <f aca="false">(O263-O262)/O262</f>
        <v>-0.00873362445414848</v>
      </c>
      <c r="Q263" s="10" t="n">
        <v>1.02</v>
      </c>
      <c r="R263" s="9" t="n">
        <f aca="false">(Q263-Q262)/Q262</f>
        <v>-0.238805970149254</v>
      </c>
      <c r="S263" s="10" t="n">
        <v>3.94</v>
      </c>
      <c r="T263" s="9" t="n">
        <f aca="false">(S263-S262)/S262</f>
        <v>-0.0641330166270784</v>
      </c>
      <c r="U263" s="13" t="n">
        <v>0.75</v>
      </c>
      <c r="V263" s="9" t="n">
        <f aca="false">(U263-U262)/U262</f>
        <v>-0.278846153846154</v>
      </c>
      <c r="W263" s="0" t="n">
        <v>1.3954</v>
      </c>
      <c r="X263" s="23" t="n">
        <f aca="false">(W263-W262)/W262</f>
        <v>-0.0517159361196059</v>
      </c>
      <c r="Y263" s="0" t="n">
        <v>1.491</v>
      </c>
      <c r="Z263" s="24" t="n">
        <f aca="false">(Y263-Y262)/Y262</f>
        <v>-0.100506756756757</v>
      </c>
    </row>
    <row r="264" customFormat="false" ht="13.8" hidden="false" customHeight="false" outlineLevel="0" collapsed="false">
      <c r="A264" s="8" t="n">
        <v>39454</v>
      </c>
      <c r="B264" s="0" t="n">
        <v>84.04</v>
      </c>
      <c r="C264" s="9" t="n">
        <f aca="false">(B264-B263)/B263</f>
        <v>0.00948948948948957</v>
      </c>
      <c r="D264" s="0" t="n">
        <v>23.68</v>
      </c>
      <c r="E264" s="9" t="n">
        <f aca="false">(D264-D263)/D263</f>
        <v>-0.0108604845446951</v>
      </c>
      <c r="F264" s="0" t="n">
        <v>140.15</v>
      </c>
      <c r="G264" s="9" t="n">
        <f aca="false">(F264-F263)/F263</f>
        <v>-0.00820890241313422</v>
      </c>
      <c r="H264" s="0" t="n">
        <f aca="false">AVERAGE(F250:F263)</f>
        <v>148.943571428571</v>
      </c>
      <c r="I264" s="0" t="n">
        <f aca="false">AVERAGE(F257:F263)</f>
        <v>146.801428571429</v>
      </c>
      <c r="J264" s="0" t="n">
        <f aca="false">AVERAGE(F261:F263)</f>
        <v>145.58</v>
      </c>
      <c r="K264" s="10" t="n">
        <v>98.17</v>
      </c>
      <c r="L264" s="9" t="n">
        <f aca="false">(K264-K263)/K263</f>
        <v>0.0264533667921372</v>
      </c>
      <c r="M264" s="10" t="n">
        <v>96.5</v>
      </c>
      <c r="N264" s="9" t="n">
        <f aca="false">(M264-M263)/M263</f>
        <v>0.0223540629303952</v>
      </c>
      <c r="O264" s="0" t="n">
        <v>2.17</v>
      </c>
      <c r="P264" s="9" t="n">
        <f aca="false">(O264-O263)/O263</f>
        <v>-0.0440528634361234</v>
      </c>
      <c r="Q264" s="10" t="n">
        <v>0.96</v>
      </c>
      <c r="R264" s="9" t="n">
        <f aca="false">(Q264-Q263)/Q263</f>
        <v>-0.0588235294117648</v>
      </c>
      <c r="S264" s="10" t="n">
        <v>3.85</v>
      </c>
      <c r="T264" s="9" t="n">
        <f aca="false">(S264-S263)/S263</f>
        <v>-0.0228426395939086</v>
      </c>
      <c r="U264" s="13" t="n">
        <v>0.71</v>
      </c>
      <c r="V264" s="9" t="n">
        <f aca="false">(U264-U263)/U263</f>
        <v>-0.0533333333333334</v>
      </c>
      <c r="W264" s="0" t="n">
        <v>1.479</v>
      </c>
      <c r="X264" s="23" t="n">
        <f aca="false">(W264-W263)/W263</f>
        <v>0.0599111365916584</v>
      </c>
      <c r="Y264" s="0" t="n">
        <v>1.6284</v>
      </c>
      <c r="Z264" s="24" t="n">
        <f aca="false">(Y264-Y263)/Y263</f>
        <v>0.0921529175050302</v>
      </c>
    </row>
    <row r="265" customFormat="false" ht="13.8" hidden="false" customHeight="false" outlineLevel="0" collapsed="false">
      <c r="A265" s="8" t="n">
        <v>39461</v>
      </c>
      <c r="B265" s="0" t="n">
        <v>77.59</v>
      </c>
      <c r="C265" s="9" t="n">
        <f aca="false">(B265-B264)/B264</f>
        <v>-0.0767491670633032</v>
      </c>
      <c r="D265" s="0" t="n">
        <v>27.18</v>
      </c>
      <c r="E265" s="9" t="n">
        <f aca="false">(D265-D264)/D264</f>
        <v>0.147804054054054</v>
      </c>
      <c r="F265" s="0" t="n">
        <v>132.06</v>
      </c>
      <c r="G265" s="9" t="n">
        <f aca="false">(F265-F264)/F264</f>
        <v>-0.0577238672850518</v>
      </c>
      <c r="H265" s="0" t="n">
        <f aca="false">AVERAGE(F251:F264)</f>
        <v>147.822142857143</v>
      </c>
      <c r="I265" s="0" t="n">
        <f aca="false">AVERAGE(F258:F264)</f>
        <v>146.232857142857</v>
      </c>
      <c r="J265" s="0" t="n">
        <f aca="false">AVERAGE(F262:F264)</f>
        <v>142.92</v>
      </c>
      <c r="K265" s="10" t="n">
        <v>94.76</v>
      </c>
      <c r="L265" s="9" t="n">
        <f aca="false">(K265-K264)/K264</f>
        <v>-0.0347356626260568</v>
      </c>
      <c r="M265" s="10" t="n">
        <v>94.4</v>
      </c>
      <c r="N265" s="9" t="n">
        <f aca="false">(M265-M264)/M264</f>
        <v>-0.021761658031088</v>
      </c>
      <c r="O265" s="0" t="n">
        <v>2.11</v>
      </c>
      <c r="P265" s="9" t="n">
        <f aca="false">(O265-O264)/O264</f>
        <v>-0.0276497695852533</v>
      </c>
      <c r="Q265" s="10" t="n">
        <v>0.86</v>
      </c>
      <c r="R265" s="9" t="n">
        <f aca="false">(Q265-Q264)/Q264</f>
        <v>-0.104166666666667</v>
      </c>
      <c r="S265" s="10" t="n">
        <v>3.72</v>
      </c>
      <c r="T265" s="9" t="n">
        <f aca="false">(S265-S264)/S264</f>
        <v>-0.0337662337662339</v>
      </c>
      <c r="U265" s="13" t="n">
        <v>0.71</v>
      </c>
      <c r="V265" s="9" t="n">
        <f aca="false">(U265-U264)/U264</f>
        <v>0</v>
      </c>
      <c r="W265" s="0" t="n">
        <v>1.4619</v>
      </c>
      <c r="X265" s="23" t="n">
        <f aca="false">(W265-W264)/W264</f>
        <v>-0.0115618661257607</v>
      </c>
      <c r="Y265" s="0" t="n">
        <v>1.6075</v>
      </c>
      <c r="Z265" s="24" t="n">
        <f aca="false">(Y265-Y264)/Y264</f>
        <v>-0.012834684352739</v>
      </c>
    </row>
    <row r="266" customFormat="false" ht="13.8" hidden="false" customHeight="false" outlineLevel="0" collapsed="false">
      <c r="A266" s="8" t="n">
        <v>39469</v>
      </c>
      <c r="B266" s="0" t="n">
        <v>86.46</v>
      </c>
      <c r="C266" s="9" t="n">
        <f aca="false">(B266-B265)/B265</f>
        <v>0.114318855522619</v>
      </c>
      <c r="D266" s="0" t="n">
        <v>29.08</v>
      </c>
      <c r="E266" s="9" t="n">
        <f aca="false">(D266-D265)/D265</f>
        <v>0.0699043414275202</v>
      </c>
      <c r="F266" s="0" t="n">
        <v>133.04</v>
      </c>
      <c r="G266" s="9" t="n">
        <f aca="false">(F266-F265)/F265</f>
        <v>0.00742086930183242</v>
      </c>
      <c r="H266" s="0" t="n">
        <f aca="false">AVERAGE(F252:F265)</f>
        <v>146.088571428571</v>
      </c>
      <c r="I266" s="0" t="n">
        <f aca="false">AVERAGE(F259:F265)</f>
        <v>143.861428571429</v>
      </c>
      <c r="J266" s="0" t="n">
        <f aca="false">AVERAGE(F263:F265)</f>
        <v>137.84</v>
      </c>
      <c r="K266" s="10" t="n">
        <v>91.51</v>
      </c>
      <c r="L266" s="9" t="n">
        <f aca="false">(K266-K265)/K265</f>
        <v>-0.0342971718024483</v>
      </c>
      <c r="M266" s="10" t="n">
        <v>90.03</v>
      </c>
      <c r="N266" s="9" t="n">
        <f aca="false">(M266-M265)/M265</f>
        <v>-0.046292372881356</v>
      </c>
      <c r="O266" s="0" t="n">
        <v>1.99</v>
      </c>
      <c r="P266" s="9" t="n">
        <f aca="false">(O266-O265)/O265</f>
        <v>-0.056872037914692</v>
      </c>
      <c r="Q266" s="10" t="n">
        <v>0.75</v>
      </c>
      <c r="R266" s="9" t="n">
        <f aca="false">(Q266-Q265)/Q265</f>
        <v>-0.127906976744186</v>
      </c>
      <c r="S266" s="10" t="n">
        <v>3.58</v>
      </c>
      <c r="T266" s="9" t="n">
        <f aca="false">(S266-S265)/S265</f>
        <v>-0.0376344086021505</v>
      </c>
      <c r="U266" s="13" t="n">
        <v>1.32</v>
      </c>
      <c r="V266" s="9" t="n">
        <f aca="false">(U266-U265)/U265</f>
        <v>0.859154929577464</v>
      </c>
      <c r="W266" s="0" t="n">
        <v>1.467</v>
      </c>
      <c r="X266" s="23" t="n">
        <f aca="false">(W266-W265)/W265</f>
        <v>0.00348861071208708</v>
      </c>
      <c r="Y266" s="0" t="n">
        <v>1.6105</v>
      </c>
      <c r="Z266" s="24" t="n">
        <f aca="false">(Y266-Y265)/Y265</f>
        <v>0.00186625194401251</v>
      </c>
    </row>
    <row r="267" customFormat="false" ht="13.8" hidden="false" customHeight="false" outlineLevel="0" collapsed="false">
      <c r="A267" s="8" t="n">
        <v>39475</v>
      </c>
      <c r="B267" s="0" t="n">
        <v>96.11</v>
      </c>
      <c r="C267" s="9" t="n">
        <f aca="false">(B267-B266)/B266</f>
        <v>0.111612306268795</v>
      </c>
      <c r="D267" s="0" t="n">
        <v>24.02</v>
      </c>
      <c r="E267" s="9" t="n">
        <f aca="false">(D267-D266)/D266</f>
        <v>-0.174002751031637</v>
      </c>
      <c r="F267" s="0" t="n">
        <v>139.58</v>
      </c>
      <c r="G267" s="9" t="n">
        <f aca="false">(F267-F266)/F266</f>
        <v>0.0491581479254361</v>
      </c>
      <c r="H267" s="0" t="n">
        <f aca="false">AVERAGE(F253:F266)</f>
        <v>144.900714285714</v>
      </c>
      <c r="I267" s="0" t="n">
        <f aca="false">AVERAGE(F260:F266)</f>
        <v>141.308571428571</v>
      </c>
      <c r="J267" s="0" t="n">
        <f aca="false">AVERAGE(F264:F266)</f>
        <v>135.083333333333</v>
      </c>
      <c r="K267" s="10" t="n">
        <v>89.41</v>
      </c>
      <c r="L267" s="9" t="n">
        <f aca="false">(K267-K266)/K266</f>
        <v>-0.022948311659928</v>
      </c>
      <c r="M267" s="10" t="n">
        <v>88.46</v>
      </c>
      <c r="N267" s="9" t="n">
        <f aca="false">(M267-M266)/M266</f>
        <v>-0.0174386315672554</v>
      </c>
      <c r="O267" s="0" t="n">
        <v>2.1</v>
      </c>
      <c r="P267" s="9" t="n">
        <f aca="false">(O267-O266)/O266</f>
        <v>0.0552763819095474</v>
      </c>
      <c r="Q267" s="10" t="n">
        <v>0.74</v>
      </c>
      <c r="R267" s="9" t="n">
        <f aca="false">(Q267-Q266)/Q266</f>
        <v>-0.0133333333333333</v>
      </c>
      <c r="S267" s="10" t="n">
        <v>3.67</v>
      </c>
      <c r="T267" s="9" t="n">
        <f aca="false">(S267-S266)/S266</f>
        <v>0.0251396648044692</v>
      </c>
      <c r="U267" s="13" t="n">
        <v>1.54</v>
      </c>
      <c r="V267" s="9" t="n">
        <f aca="false">(U267-U266)/U266</f>
        <v>0.166666666666666</v>
      </c>
      <c r="W267" s="0" t="n">
        <v>1.4799</v>
      </c>
      <c r="X267" s="23" t="n">
        <f aca="false">(W267-W266)/W266</f>
        <v>0.00879345603271978</v>
      </c>
      <c r="Y267" s="0" t="n">
        <v>1.6121</v>
      </c>
      <c r="Z267" s="24" t="n">
        <f aca="false">(Y267-Y266)/Y266</f>
        <v>0.000993480285625611</v>
      </c>
    </row>
    <row r="268" customFormat="false" ht="13.8" hidden="false" customHeight="false" outlineLevel="0" collapsed="false">
      <c r="A268" s="8" t="n">
        <v>39482</v>
      </c>
      <c r="B268" s="0" t="n">
        <v>88.02</v>
      </c>
      <c r="C268" s="9" t="n">
        <f aca="false">(B268-B267)/B267</f>
        <v>-0.0841743835188846</v>
      </c>
      <c r="D268" s="0" t="n">
        <v>28.01</v>
      </c>
      <c r="E268" s="9" t="n">
        <f aca="false">(D268-D267)/D267</f>
        <v>0.166111573688593</v>
      </c>
      <c r="F268" s="0" t="n">
        <v>133.07</v>
      </c>
      <c r="G268" s="9" t="n">
        <f aca="false">(F268-F267)/F267</f>
        <v>-0.046639919759278</v>
      </c>
      <c r="H268" s="0" t="n">
        <f aca="false">AVERAGE(F254:F267)</f>
        <v>143.897857142857</v>
      </c>
      <c r="I268" s="0" t="n">
        <f aca="false">AVERAGE(F261:F267)</f>
        <v>140.224285714286</v>
      </c>
      <c r="J268" s="0" t="n">
        <f aca="false">AVERAGE(F265:F267)</f>
        <v>134.893333333333</v>
      </c>
      <c r="K268" s="10" t="n">
        <v>91.14</v>
      </c>
      <c r="L268" s="9" t="n">
        <f aca="false">(K268-K267)/K267</f>
        <v>0.0193490660999889</v>
      </c>
      <c r="M268" s="10" t="n">
        <v>91.77</v>
      </c>
      <c r="N268" s="9" t="n">
        <f aca="false">(M268-M267)/M267</f>
        <v>0.0374180420529053</v>
      </c>
      <c r="O268" s="0" t="n">
        <v>2</v>
      </c>
      <c r="P268" s="9" t="n">
        <f aca="false">(O268-O267)/O267</f>
        <v>-0.0476190476190475</v>
      </c>
      <c r="Q268" s="10" t="n">
        <v>0.72</v>
      </c>
      <c r="R268" s="9" t="n">
        <f aca="false">(Q268-Q267)/Q267</f>
        <v>-0.0270270270270271</v>
      </c>
      <c r="S268" s="10" t="n">
        <v>3.66</v>
      </c>
      <c r="T268" s="9" t="n">
        <f aca="false">(S268-S267)/S267</f>
        <v>-0.00272479564032692</v>
      </c>
      <c r="U268" s="13" t="n">
        <v>1.52</v>
      </c>
      <c r="V268" s="9" t="n">
        <f aca="false">(U268-U267)/U267</f>
        <v>-0.012987012987013</v>
      </c>
      <c r="W268" s="0" t="n">
        <v>1.4508</v>
      </c>
      <c r="X268" s="23" t="n">
        <f aca="false">(W268-W267)/W267</f>
        <v>-0.0196634907764037</v>
      </c>
      <c r="Y268" s="0" t="n">
        <v>1.5985</v>
      </c>
      <c r="Z268" s="24" t="n">
        <f aca="false">(Y268-Y267)/Y267</f>
        <v>-0.00843620122821169</v>
      </c>
    </row>
    <row r="269" customFormat="false" ht="13.8" hidden="false" customHeight="false" outlineLevel="0" collapsed="false">
      <c r="A269" s="8" t="n">
        <v>39489</v>
      </c>
      <c r="B269" s="0" t="n">
        <v>87.53</v>
      </c>
      <c r="C269" s="9" t="n">
        <f aca="false">(B269-B268)/B268</f>
        <v>-0.00556691660986134</v>
      </c>
      <c r="D269" s="0" t="n">
        <v>25.02</v>
      </c>
      <c r="E269" s="9" t="n">
        <f aca="false">(D269-D268)/D268</f>
        <v>-0.106747590146376</v>
      </c>
      <c r="F269" s="0" t="n">
        <v>135.14</v>
      </c>
      <c r="G269" s="9" t="n">
        <f aca="false">(F269-F268)/F268</f>
        <v>0.0155557225520402</v>
      </c>
      <c r="H269" s="0" t="n">
        <f aca="false">AVERAGE(F255:F268)</f>
        <v>142.602857142857</v>
      </c>
      <c r="I269" s="0" t="n">
        <f aca="false">AVERAGE(F262:F268)</f>
        <v>138.072857142857</v>
      </c>
      <c r="J269" s="0" t="n">
        <f aca="false">AVERAGE(F266:F268)</f>
        <v>135.23</v>
      </c>
      <c r="K269" s="10" t="n">
        <v>89.08</v>
      </c>
      <c r="L269" s="9" t="n">
        <f aca="false">(K269-K268)/K268</f>
        <v>-0.0226025894228659</v>
      </c>
      <c r="M269" s="10" t="n">
        <v>89.88</v>
      </c>
      <c r="N269" s="9" t="n">
        <f aca="false">(M269-M268)/M268</f>
        <v>-0.0205949656750572</v>
      </c>
      <c r="O269" s="0" t="n">
        <v>2.05</v>
      </c>
      <c r="P269" s="9" t="n">
        <f aca="false">(O269-O268)/O268</f>
        <v>0.0249999999999999</v>
      </c>
      <c r="Q269" s="10" t="n">
        <v>0.68</v>
      </c>
      <c r="R269" s="9" t="n">
        <f aca="false">(Q269-Q268)/Q268</f>
        <v>-0.0555555555555555</v>
      </c>
      <c r="S269" s="10" t="n">
        <v>3.72</v>
      </c>
      <c r="T269" s="9" t="n">
        <f aca="false">(S269-S268)/S268</f>
        <v>0.0163934426229507</v>
      </c>
      <c r="U269" s="13" t="n">
        <v>1.49</v>
      </c>
      <c r="V269" s="9" t="n">
        <f aca="false">(U269-U268)/U268</f>
        <v>-0.019736842105263</v>
      </c>
      <c r="W269" s="0" t="n">
        <v>1.4678</v>
      </c>
      <c r="X269" s="23" t="n">
        <f aca="false">(W269-W268)/W268</f>
        <v>0.0117176730079955</v>
      </c>
      <c r="Y269" s="0" t="n">
        <v>1.6045</v>
      </c>
      <c r="Z269" s="24" t="n">
        <f aca="false">(Y269-Y268)/Y268</f>
        <v>0.00375351892399124</v>
      </c>
    </row>
    <row r="270" customFormat="false" ht="13.8" hidden="false" customHeight="false" outlineLevel="0" collapsed="false">
      <c r="A270" s="8" t="n">
        <v>39497</v>
      </c>
      <c r="B270" s="0" t="n">
        <v>87.67</v>
      </c>
      <c r="C270" s="9" t="n">
        <f aca="false">(B270-B269)/B269</f>
        <v>0.0015994516165886</v>
      </c>
      <c r="D270" s="0" t="n">
        <v>24.06</v>
      </c>
      <c r="E270" s="9" t="n">
        <f aca="false">(D270-D269)/D269</f>
        <v>-0.0383693045563549</v>
      </c>
      <c r="F270" s="0" t="n">
        <v>135.62</v>
      </c>
      <c r="G270" s="9" t="n">
        <f aca="false">(F270-F269)/F269</f>
        <v>0.00355187213260336</v>
      </c>
      <c r="H270" s="0" t="n">
        <f aca="false">AVERAGE(F256:F269)</f>
        <v>141.888571428571</v>
      </c>
      <c r="I270" s="0" t="n">
        <f aca="false">AVERAGE(F263:F269)</f>
        <v>136.335714285714</v>
      </c>
      <c r="J270" s="0" t="n">
        <f aca="false">AVERAGE(F267:F269)</f>
        <v>135.93</v>
      </c>
      <c r="K270" s="10" t="n">
        <v>94.13</v>
      </c>
      <c r="L270" s="9" t="n">
        <f aca="false">(K270-K269)/K269</f>
        <v>0.0566906151773686</v>
      </c>
      <c r="M270" s="10" t="n">
        <v>94.98</v>
      </c>
      <c r="N270" s="9" t="n">
        <f aca="false">(M270-M269)/M269</f>
        <v>0.0567423230974634</v>
      </c>
      <c r="O270" s="0" t="n">
        <v>2.18</v>
      </c>
      <c r="P270" s="9" t="n">
        <f aca="false">(O270-O269)/O269</f>
        <v>0.0634146341463416</v>
      </c>
      <c r="Q270" s="10" t="n">
        <v>0.71</v>
      </c>
      <c r="R270" s="9" t="n">
        <f aca="false">(Q270-Q269)/Q269</f>
        <v>0.0441176470588234</v>
      </c>
      <c r="S270" s="10" t="n">
        <v>3.85</v>
      </c>
      <c r="T270" s="9" t="n">
        <f aca="false">(S270-S269)/S269</f>
        <v>0.0349462365591399</v>
      </c>
      <c r="U270" s="13" t="n">
        <v>1.67</v>
      </c>
      <c r="V270" s="9" t="n">
        <f aca="false">(U270-U269)/U269</f>
        <v>0.120805369127517</v>
      </c>
      <c r="W270" s="0" t="n">
        <v>1.4824</v>
      </c>
      <c r="X270" s="23" t="n">
        <f aca="false">(W270-W269)/W269</f>
        <v>0.00994685924512873</v>
      </c>
      <c r="Y270" s="0" t="n">
        <v>1.6068</v>
      </c>
      <c r="Z270" s="24" t="n">
        <f aca="false">(Y270-Y269)/Y269</f>
        <v>0.00143346837020877</v>
      </c>
    </row>
    <row r="271" customFormat="false" ht="13.8" hidden="false" customHeight="false" outlineLevel="0" collapsed="false">
      <c r="A271" s="8" t="n">
        <v>39503</v>
      </c>
      <c r="B271" s="0" t="n">
        <v>82.07</v>
      </c>
      <c r="C271" s="9" t="n">
        <f aca="false">(B271-B270)/B270</f>
        <v>-0.0638758982548193</v>
      </c>
      <c r="D271" s="0" t="n">
        <v>26.54</v>
      </c>
      <c r="E271" s="9" t="n">
        <f aca="false">(D271-D270)/D270</f>
        <v>0.103075644222776</v>
      </c>
      <c r="F271" s="0" t="n">
        <v>133.82</v>
      </c>
      <c r="G271" s="9" t="n">
        <f aca="false">(F271-F270)/F270</f>
        <v>-0.0132723787052058</v>
      </c>
      <c r="H271" s="0" t="n">
        <f aca="false">AVERAGE(F257:F270)</f>
        <v>141.162142857143</v>
      </c>
      <c r="I271" s="0" t="n">
        <f aca="false">AVERAGE(F264:F270)</f>
        <v>135.522857142857</v>
      </c>
      <c r="J271" s="0" t="n">
        <f aca="false">AVERAGE(F268:F270)</f>
        <v>134.61</v>
      </c>
      <c r="K271" s="10" t="n">
        <v>99.61</v>
      </c>
      <c r="L271" s="9" t="n">
        <f aca="false">(K271-K270)/K270</f>
        <v>0.058217358971635</v>
      </c>
      <c r="M271" s="10" t="n">
        <v>97.13</v>
      </c>
      <c r="N271" s="9" t="n">
        <f aca="false">(M271-M270)/M270</f>
        <v>0.0226363444935775</v>
      </c>
      <c r="O271" s="0" t="n">
        <v>2.31</v>
      </c>
      <c r="P271" s="9" t="n">
        <f aca="false">(O271-O270)/O270</f>
        <v>0.0596330275229355</v>
      </c>
      <c r="Q271" s="10" t="n">
        <v>0.49</v>
      </c>
      <c r="R271" s="9" t="n">
        <f aca="false">(Q271-Q270)/Q270</f>
        <v>-0.309859154929577</v>
      </c>
      <c r="S271" s="10" t="n">
        <v>3.78</v>
      </c>
      <c r="T271" s="9" t="n">
        <f aca="false">(S271-S270)/S270</f>
        <v>-0.0181818181818181</v>
      </c>
      <c r="U271" s="13" t="n">
        <v>1.81</v>
      </c>
      <c r="V271" s="9" t="n">
        <f aca="false">(U271-U270)/U270</f>
        <v>0.0838323353293413</v>
      </c>
      <c r="W271" s="0" t="n">
        <v>1.5189</v>
      </c>
      <c r="X271" s="23" t="n">
        <f aca="false">(W271-W270)/W270</f>
        <v>0.0246222342147868</v>
      </c>
      <c r="Y271" s="0" t="n">
        <v>1.5816</v>
      </c>
      <c r="Z271" s="24" t="n">
        <f aca="false">(Y271-Y270)/Y270</f>
        <v>-0.0156833457804332</v>
      </c>
    </row>
    <row r="272" customFormat="false" ht="13.8" hidden="false" customHeight="false" outlineLevel="0" collapsed="false">
      <c r="A272" s="8" t="n">
        <v>39510</v>
      </c>
      <c r="B272" s="0" t="n">
        <v>77.08</v>
      </c>
      <c r="C272" s="9" t="n">
        <f aca="false">(B272-B271)/B271</f>
        <v>-0.0608017545997319</v>
      </c>
      <c r="D272" s="0" t="n">
        <v>27.49</v>
      </c>
      <c r="E272" s="9" t="n">
        <f aca="false">(D272-D271)/D271</f>
        <v>0.0357950263752826</v>
      </c>
      <c r="F272" s="0" t="n">
        <v>129.71</v>
      </c>
      <c r="G272" s="9" t="n">
        <f aca="false">(F272-F271)/F271</f>
        <v>-0.0307128979225825</v>
      </c>
      <c r="H272" s="0" t="n">
        <f aca="false">AVERAGE(F258:F271)</f>
        <v>140.425714285714</v>
      </c>
      <c r="I272" s="0" t="n">
        <f aca="false">AVERAGE(F265:F271)</f>
        <v>134.618571428571</v>
      </c>
      <c r="J272" s="0" t="n">
        <f aca="false">AVERAGE(F269:F271)</f>
        <v>134.86</v>
      </c>
      <c r="K272" s="10" t="n">
        <v>100.84</v>
      </c>
      <c r="L272" s="9" t="n">
        <f aca="false">(K272-K271)/K271</f>
        <v>0.0123481578154804</v>
      </c>
      <c r="M272" s="10" t="n">
        <v>99.1</v>
      </c>
      <c r="N272" s="9" t="n">
        <f aca="false">(M272-M271)/M271</f>
        <v>0.0202820961597858</v>
      </c>
      <c r="O272" s="0" t="n">
        <v>2.34</v>
      </c>
      <c r="P272" s="9" t="n">
        <f aca="false">(O272-O271)/O271</f>
        <v>0.0129870129870131</v>
      </c>
      <c r="Q272" s="10" t="n">
        <v>0.17</v>
      </c>
      <c r="R272" s="9" t="n">
        <f aca="false">(Q272-Q271)/Q271</f>
        <v>-0.653061224489796</v>
      </c>
      <c r="S272" s="10" t="n">
        <v>3.61</v>
      </c>
      <c r="T272" s="9" t="n">
        <f aca="false">(S272-S271)/S271</f>
        <v>-0.0449735449735451</v>
      </c>
      <c r="U272" s="13" t="n">
        <v>2.09</v>
      </c>
      <c r="V272" s="9" t="n">
        <f aca="false">(U272-U271)/U271</f>
        <v>0.154696132596685</v>
      </c>
      <c r="W272" s="0" t="n">
        <v>1.5348</v>
      </c>
      <c r="X272" s="23" t="n">
        <f aca="false">(W272-W271)/W271</f>
        <v>0.0104681019158602</v>
      </c>
      <c r="Y272" s="0" t="n">
        <v>1.5722</v>
      </c>
      <c r="Z272" s="24" t="n">
        <f aca="false">(Y272-Y271)/Y271</f>
        <v>-0.00594334850784007</v>
      </c>
    </row>
    <row r="273" customFormat="false" ht="13.8" hidden="false" customHeight="false" outlineLevel="0" collapsed="false">
      <c r="A273" s="8" t="n">
        <v>39517</v>
      </c>
      <c r="B273" s="0" t="n">
        <v>77.01</v>
      </c>
      <c r="C273" s="9" t="n">
        <f aca="false">(B273-B272)/B272</f>
        <v>-0.000908147379346045</v>
      </c>
      <c r="D273" s="0" t="n">
        <v>31.16</v>
      </c>
      <c r="E273" s="9" t="n">
        <f aca="false">(D273-D272)/D272</f>
        <v>0.133503092033467</v>
      </c>
      <c r="F273" s="0" t="n">
        <v>129.61</v>
      </c>
      <c r="G273" s="9" t="n">
        <f aca="false">(F273-F272)/F272</f>
        <v>-0.000770950582067646</v>
      </c>
      <c r="H273" s="0" t="n">
        <f aca="false">AVERAGE(F259:F272)</f>
        <v>139.072142857143</v>
      </c>
      <c r="I273" s="0" t="n">
        <f aca="false">AVERAGE(F266:F272)</f>
        <v>134.282857142857</v>
      </c>
      <c r="J273" s="0" t="n">
        <f aca="false">AVERAGE(F270:F272)</f>
        <v>133.05</v>
      </c>
      <c r="K273" s="10" t="n">
        <v>103.44</v>
      </c>
      <c r="L273" s="9" t="n">
        <f aca="false">(K273-K272)/K272</f>
        <v>0.0257834192780642</v>
      </c>
      <c r="M273" s="10" t="n">
        <v>101.9</v>
      </c>
      <c r="N273" s="9" t="n">
        <f aca="false">(M273-M272)/M272</f>
        <v>0.0282542885973765</v>
      </c>
      <c r="O273" s="0" t="n">
        <v>2.35</v>
      </c>
      <c r="P273" s="9" t="n">
        <f aca="false">(O273-O272)/O272</f>
        <v>0.00427350427350437</v>
      </c>
      <c r="Q273" s="10" t="n">
        <v>0.12</v>
      </c>
      <c r="R273" s="9" t="n">
        <f aca="false">(Q273-Q272)/Q272</f>
        <v>-0.294117647058824</v>
      </c>
      <c r="S273" s="10" t="n">
        <v>3.51</v>
      </c>
      <c r="T273" s="9" t="n">
        <f aca="false">(S273-S272)/S272</f>
        <v>-0.0277008310249308</v>
      </c>
      <c r="U273" s="13" t="n">
        <v>2.17</v>
      </c>
      <c r="V273" s="9" t="n">
        <f aca="false">(U273-U272)/U272</f>
        <v>0.0382775119617225</v>
      </c>
      <c r="W273" s="0" t="n">
        <v>1.5666</v>
      </c>
      <c r="X273" s="23" t="n">
        <f aca="false">(W273-W272)/W272</f>
        <v>0.0207193119624707</v>
      </c>
      <c r="Y273" s="0" t="n">
        <v>1.5657</v>
      </c>
      <c r="Z273" s="24" t="n">
        <f aca="false">(Y273-Y272)/Y272</f>
        <v>-0.00413433405419155</v>
      </c>
    </row>
    <row r="274" customFormat="false" ht="13.8" hidden="false" customHeight="false" outlineLevel="0" collapsed="false">
      <c r="A274" s="8" t="n">
        <v>39524</v>
      </c>
      <c r="B274" s="0" t="n">
        <v>85.85</v>
      </c>
      <c r="C274" s="9" t="n">
        <f aca="false">(B274-B273)/B273</f>
        <v>0.114790286975717</v>
      </c>
      <c r="D274" s="0" t="n">
        <v>26.62</v>
      </c>
      <c r="E274" s="9" t="n">
        <f aca="false">(D274-D273)/D273</f>
        <v>-0.145699614890886</v>
      </c>
      <c r="F274" s="0" t="n">
        <v>132.08</v>
      </c>
      <c r="G274" s="9" t="n">
        <f aca="false">(F274-F273)/F273</f>
        <v>0.0190571715145436</v>
      </c>
      <c r="H274" s="0" t="n">
        <f aca="false">AVERAGE(F260:F273)</f>
        <v>137.550714285714</v>
      </c>
      <c r="I274" s="0" t="n">
        <f aca="false">AVERAGE(F267:F273)</f>
        <v>133.792857142857</v>
      </c>
      <c r="J274" s="0" t="n">
        <f aca="false">AVERAGE(F271:F273)</f>
        <v>131.046666666667</v>
      </c>
      <c r="K274" s="10" t="n">
        <v>109.35</v>
      </c>
      <c r="L274" s="9" t="n">
        <f aca="false">(K274-K273)/K273</f>
        <v>0.0571345707656612</v>
      </c>
      <c r="M274" s="10" t="n">
        <v>107.69</v>
      </c>
      <c r="N274" s="9" t="n">
        <f aca="false">(M274-M273)/M273</f>
        <v>0.0568204121687929</v>
      </c>
      <c r="O274" s="0" t="n">
        <v>2.14</v>
      </c>
      <c r="P274" s="9" t="n">
        <f aca="false">(O274-O273)/O273</f>
        <v>-0.0893617021276597</v>
      </c>
      <c r="Q274" s="10" t="n">
        <v>0.2</v>
      </c>
      <c r="R274" s="9" t="n">
        <f aca="false">(Q274-Q273)/Q273</f>
        <v>0.666666666666667</v>
      </c>
      <c r="S274" s="10" t="n">
        <v>3.39</v>
      </c>
      <c r="T274" s="9" t="n">
        <f aca="false">(S274-S273)/S273</f>
        <v>-0.0341880341880341</v>
      </c>
      <c r="U274" s="13" t="n">
        <v>2.58</v>
      </c>
      <c r="V274" s="9" t="n">
        <f aca="false">(U274-U273)/U273</f>
        <v>0.188940092165899</v>
      </c>
      <c r="W274" s="0" t="n">
        <v>1.5446</v>
      </c>
      <c r="X274" s="23" t="n">
        <f aca="false">(W274-W273)/W273</f>
        <v>-0.0140431507723733</v>
      </c>
      <c r="Y274" s="0" t="n">
        <v>1.5585</v>
      </c>
      <c r="Z274" s="24" t="n">
        <f aca="false">(Y274-Y273)/Y273</f>
        <v>-0.00459858210385137</v>
      </c>
    </row>
    <row r="275" customFormat="false" ht="13.8" hidden="false" customHeight="false" outlineLevel="0" collapsed="false">
      <c r="A275" s="8" t="n">
        <v>39531</v>
      </c>
      <c r="B275" s="0" t="n">
        <v>78.66</v>
      </c>
      <c r="C275" s="9" t="n">
        <f aca="false">(B275-B274)/B274</f>
        <v>-0.0837507280139779</v>
      </c>
      <c r="D275" s="0" t="n">
        <v>25.71</v>
      </c>
      <c r="E275" s="9" t="n">
        <f aca="false">(D275-D274)/D274</f>
        <v>-0.0341848234410218</v>
      </c>
      <c r="F275" s="0" t="n">
        <v>131.51</v>
      </c>
      <c r="G275" s="9" t="n">
        <f aca="false">(F275-F274)/F274</f>
        <v>-0.0043155663234405</v>
      </c>
      <c r="H275" s="0" t="n">
        <f aca="false">AVERAGE(F261:F274)</f>
        <v>136.472857142857</v>
      </c>
      <c r="I275" s="0" t="n">
        <f aca="false">AVERAGE(F268:F274)</f>
        <v>132.721428571429</v>
      </c>
      <c r="J275" s="0" t="n">
        <f aca="false">AVERAGE(F272:F274)</f>
        <v>130.466666666667</v>
      </c>
      <c r="K275" s="10" t="n">
        <v>105.28</v>
      </c>
      <c r="L275" s="9" t="n">
        <f aca="false">(K275-K274)/K274</f>
        <v>-0.037219935985368</v>
      </c>
      <c r="M275" s="10" t="n">
        <v>103.05</v>
      </c>
      <c r="N275" s="9" t="n">
        <f aca="false">(M275-M274)/M274</f>
        <v>-0.0430866375708051</v>
      </c>
      <c r="O275" s="0" t="n">
        <v>2.17</v>
      </c>
      <c r="P275" s="9" t="n">
        <f aca="false">(O275-O274)/O274</f>
        <v>0.0140186915887852</v>
      </c>
      <c r="Q275" s="10" t="n">
        <v>0.41</v>
      </c>
      <c r="R275" s="9" t="n">
        <f aca="false">(Q275-Q274)/Q274</f>
        <v>1.05</v>
      </c>
      <c r="S275" s="10" t="n">
        <v>3.52</v>
      </c>
      <c r="T275" s="9" t="n">
        <f aca="false">(S275-S274)/S274</f>
        <v>0.0383480825958702</v>
      </c>
      <c r="U275" s="13" t="n">
        <v>2.25</v>
      </c>
      <c r="V275" s="9" t="n">
        <f aca="false">(U275-U274)/U274</f>
        <v>-0.127906976744186</v>
      </c>
      <c r="W275" s="0" t="n">
        <v>1.5803</v>
      </c>
      <c r="X275" s="23" t="n">
        <f aca="false">(W275-W274)/W274</f>
        <v>0.023112780007769</v>
      </c>
      <c r="Y275" s="0" t="n">
        <v>1.5719</v>
      </c>
      <c r="Z275" s="24" t="n">
        <f aca="false">(Y275-Y274)/Y274</f>
        <v>0.00859801090792434</v>
      </c>
    </row>
    <row r="276" customFormat="false" ht="13.8" hidden="false" customHeight="false" outlineLevel="0" collapsed="false">
      <c r="A276" s="8" t="n">
        <v>39538</v>
      </c>
      <c r="B276" s="0" t="n">
        <v>82.45</v>
      </c>
      <c r="C276" s="9" t="n">
        <f aca="false">(B276-B275)/B275</f>
        <v>0.0481820493262142</v>
      </c>
      <c r="D276" s="0" t="n">
        <v>22.45</v>
      </c>
      <c r="E276" s="9" t="n">
        <f aca="false">(D276-D275)/D275</f>
        <v>-0.126798910929599</v>
      </c>
      <c r="F276" s="0" t="n">
        <v>136.89</v>
      </c>
      <c r="G276" s="9" t="n">
        <f aca="false">(F276-F275)/F275</f>
        <v>0.0409094365447494</v>
      </c>
      <c r="H276" s="0" t="n">
        <f aca="false">AVERAGE(F262:F275)</f>
        <v>135.285714285714</v>
      </c>
      <c r="I276" s="0" t="n">
        <f aca="false">AVERAGE(F269:F275)</f>
        <v>132.498571428571</v>
      </c>
      <c r="J276" s="0" t="n">
        <f aca="false">AVERAGE(F273:F275)</f>
        <v>131.066666666667</v>
      </c>
      <c r="K276" s="10" t="n">
        <v>104.49</v>
      </c>
      <c r="L276" s="9" t="n">
        <f aca="false">(K276-K275)/K275</f>
        <v>-0.00750379939209732</v>
      </c>
      <c r="M276" s="10" t="n">
        <v>102.05</v>
      </c>
      <c r="N276" s="9" t="n">
        <f aca="false">(M276-M275)/M275</f>
        <v>-0.00970402717127608</v>
      </c>
      <c r="O276" s="0" t="n">
        <v>2.2</v>
      </c>
      <c r="P276" s="9" t="n">
        <f aca="false">(O276-O275)/O275</f>
        <v>0.0138248847926268</v>
      </c>
      <c r="Q276" s="10" t="n">
        <v>0.44</v>
      </c>
      <c r="R276" s="9" t="n">
        <f aca="false">(Q276-Q275)/Q275</f>
        <v>0.073170731707317</v>
      </c>
      <c r="S276" s="10" t="n">
        <v>3.55</v>
      </c>
      <c r="T276" s="9" t="n">
        <f aca="false">(S276-S275)/S275</f>
        <v>0.00852272727272722</v>
      </c>
      <c r="U276" s="13" t="n">
        <v>2.18</v>
      </c>
      <c r="V276" s="9" t="n">
        <f aca="false">(U276-U275)/U275</f>
        <v>-0.0311111111111112</v>
      </c>
      <c r="W276" s="0" t="n">
        <v>1.5718</v>
      </c>
      <c r="X276" s="23" t="n">
        <f aca="false">(W276-W275)/W275</f>
        <v>-0.00537872555843824</v>
      </c>
      <c r="Y276" s="0" t="n">
        <v>1.5844</v>
      </c>
      <c r="Z276" s="24" t="n">
        <f aca="false">(Y276-Y275)/Y275</f>
        <v>0.00795215980660344</v>
      </c>
    </row>
    <row r="277" customFormat="false" ht="13.8" hidden="false" customHeight="false" outlineLevel="0" collapsed="false">
      <c r="A277" s="8" t="n">
        <v>39545</v>
      </c>
      <c r="B277" s="0" t="n">
        <v>78.92</v>
      </c>
      <c r="C277" s="9" t="n">
        <f aca="false">(B277-B276)/B276</f>
        <v>-0.0428138265615525</v>
      </c>
      <c r="D277" s="0" t="n">
        <v>23.46</v>
      </c>
      <c r="E277" s="9" t="n">
        <f aca="false">(D277-D276)/D276</f>
        <v>0.0449888641425391</v>
      </c>
      <c r="F277" s="0" t="n">
        <v>133.38</v>
      </c>
      <c r="G277" s="9" t="n">
        <f aca="false">(F277-F276)/F276</f>
        <v>-0.0256410256410256</v>
      </c>
      <c r="H277" s="0" t="n">
        <f aca="false">AVERAGE(F263:F276)</f>
        <v>134.542142857143</v>
      </c>
      <c r="I277" s="0" t="n">
        <f aca="false">AVERAGE(F270:F276)</f>
        <v>132.748571428571</v>
      </c>
      <c r="J277" s="0" t="n">
        <f aca="false">AVERAGE(F274:F276)</f>
        <v>133.493333333333</v>
      </c>
      <c r="K277" s="10" t="n">
        <v>103.46</v>
      </c>
      <c r="L277" s="9" t="n">
        <f aca="false">(K277-K276)/K276</f>
        <v>-0.00985740262226052</v>
      </c>
      <c r="M277" s="10" t="n">
        <v>100.88</v>
      </c>
      <c r="N277" s="9" t="n">
        <f aca="false">(M277-M276)/M276</f>
        <v>-0.0114649681528663</v>
      </c>
      <c r="O277" s="0" t="n">
        <v>2.19</v>
      </c>
      <c r="P277" s="9" t="n">
        <f aca="false">(O277-O276)/O276</f>
        <v>-0.00454545454545445</v>
      </c>
      <c r="Q277" s="10" t="n">
        <v>0.47</v>
      </c>
      <c r="R277" s="9" t="n">
        <f aca="false">(Q277-Q276)/Q276</f>
        <v>0.0681818181818182</v>
      </c>
      <c r="S277" s="10" t="n">
        <v>3.54</v>
      </c>
      <c r="T277" s="9" t="n">
        <f aca="false">(S277-S276)/S276</f>
        <v>-0.00281690140845064</v>
      </c>
      <c r="U277" s="13" t="n">
        <v>2.23</v>
      </c>
      <c r="V277" s="9" t="n">
        <f aca="false">(U277-U276)/U276</f>
        <v>0.0229357798165139</v>
      </c>
      <c r="W277" s="0" t="n">
        <v>1.5832</v>
      </c>
      <c r="X277" s="23" t="n">
        <f aca="false">(W277-W276)/W276</f>
        <v>0.00725283114900105</v>
      </c>
      <c r="Y277" s="0" t="n">
        <v>1.581</v>
      </c>
      <c r="Z277" s="24" t="n">
        <f aca="false">(Y277-Y276)/Y276</f>
        <v>-0.00214592274678116</v>
      </c>
    </row>
    <row r="278" customFormat="false" ht="13.8" hidden="false" customHeight="false" outlineLevel="0" collapsed="false">
      <c r="A278" s="8" t="n">
        <v>39552</v>
      </c>
      <c r="B278" s="0" t="n">
        <v>81.63</v>
      </c>
      <c r="C278" s="9" t="n">
        <f aca="false">(B278-B277)/B277</f>
        <v>0.0343385707045108</v>
      </c>
      <c r="D278" s="0" t="n">
        <v>20.13</v>
      </c>
      <c r="E278" s="9" t="n">
        <f aca="false">(D278-D277)/D277</f>
        <v>-0.141943734015345</v>
      </c>
      <c r="F278" s="0" t="n">
        <v>138.48</v>
      </c>
      <c r="G278" s="9" t="n">
        <f aca="false">(F278-F277)/F277</f>
        <v>0.0382366171839856</v>
      </c>
      <c r="H278" s="0" t="n">
        <f aca="false">AVERAGE(F264:F277)</f>
        <v>133.975714285714</v>
      </c>
      <c r="I278" s="0" t="n">
        <f aca="false">AVERAGE(F271:F277)</f>
        <v>132.428571428571</v>
      </c>
      <c r="J278" s="0" t="n">
        <f aca="false">AVERAGE(F275:F277)</f>
        <v>133.926666666667</v>
      </c>
      <c r="K278" s="10" t="n">
        <v>109.71</v>
      </c>
      <c r="L278" s="9" t="n">
        <f aca="false">(K278-K277)/K277</f>
        <v>0.060409820220375</v>
      </c>
      <c r="M278" s="10" t="n">
        <v>106.6</v>
      </c>
      <c r="N278" s="9" t="n">
        <f aca="false">(M278-M277)/M277</f>
        <v>0.056701030927835</v>
      </c>
      <c r="O278" s="0" t="n">
        <v>2.21</v>
      </c>
      <c r="P278" s="9" t="n">
        <f aca="false">(O278-O277)/O277</f>
        <v>0.009132420091324</v>
      </c>
      <c r="Q278" s="10" t="n">
        <v>0.58</v>
      </c>
      <c r="R278" s="9" t="n">
        <f aca="false">(Q278-Q277)/Q277</f>
        <v>0.234042553191489</v>
      </c>
      <c r="S278" s="10" t="n">
        <v>3.67</v>
      </c>
      <c r="T278" s="9" t="n">
        <f aca="false">(S278-S277)/S277</f>
        <v>0.0367231638418079</v>
      </c>
      <c r="U278" s="13" t="n">
        <v>2.51</v>
      </c>
      <c r="V278" s="9" t="n">
        <f aca="false">(U278-U277)/U277</f>
        <v>0.125560538116592</v>
      </c>
      <c r="W278" s="0" t="n">
        <v>1.5801</v>
      </c>
      <c r="X278" s="23" t="n">
        <f aca="false">(W278-W277)/W277</f>
        <v>-0.0019580596260737</v>
      </c>
      <c r="Y278" s="0" t="n">
        <v>1.6092</v>
      </c>
      <c r="Z278" s="24" t="n">
        <f aca="false">(Y278-Y277)/Y277</f>
        <v>0.0178368121442125</v>
      </c>
    </row>
    <row r="279" customFormat="false" ht="13.8" hidden="false" customHeight="false" outlineLevel="0" collapsed="false">
      <c r="A279" s="8" t="n">
        <v>39559</v>
      </c>
      <c r="B279" s="0" t="n">
        <v>84.08</v>
      </c>
      <c r="C279" s="9" t="n">
        <f aca="false">(B279-B278)/B278</f>
        <v>0.0300134754379518</v>
      </c>
      <c r="D279" s="0" t="n">
        <v>19.59</v>
      </c>
      <c r="E279" s="9" t="n">
        <f aca="false">(D279-D278)/D278</f>
        <v>-0.0268256333830104</v>
      </c>
      <c r="F279" s="0" t="n">
        <v>139.6</v>
      </c>
      <c r="G279" s="9" t="n">
        <f aca="false">(F279-F278)/F278</f>
        <v>0.0080878105141537</v>
      </c>
      <c r="H279" s="0" t="n">
        <f aca="false">AVERAGE(F265:F278)</f>
        <v>133.856428571429</v>
      </c>
      <c r="I279" s="0" t="n">
        <f aca="false">AVERAGE(F272:F278)</f>
        <v>133.094285714286</v>
      </c>
      <c r="J279" s="0" t="n">
        <f aca="false">AVERAGE(F276:F278)</f>
        <v>136.25</v>
      </c>
      <c r="K279" s="10" t="n">
        <v>114.33</v>
      </c>
      <c r="L279" s="9" t="n">
        <f aca="false">(K279-K278)/K278</f>
        <v>0.0421110199617173</v>
      </c>
      <c r="M279" s="10" t="n">
        <v>110.42</v>
      </c>
      <c r="N279" s="9" t="n">
        <f aca="false">(M279-M278)/M278</f>
        <v>0.0358348968105066</v>
      </c>
      <c r="O279" s="0" t="n">
        <v>2.26</v>
      </c>
      <c r="P279" s="9" t="n">
        <f aca="false">(O279-O278)/O278</f>
        <v>0.0226244343891402</v>
      </c>
      <c r="Q279" s="10" t="n">
        <v>0.79</v>
      </c>
      <c r="R279" s="9" t="n">
        <f aca="false">(Q279-Q278)/Q278</f>
        <v>0.362068965517241</v>
      </c>
      <c r="S279" s="10" t="n">
        <v>3.81</v>
      </c>
      <c r="T279" s="9" t="n">
        <f aca="false">(S279-S278)/S278</f>
        <v>0.0381471389645777</v>
      </c>
      <c r="U279" s="13" t="n">
        <v>2.53</v>
      </c>
      <c r="V279" s="9" t="n">
        <f aca="false">(U279-U278)/U278</f>
        <v>0.00796812749004003</v>
      </c>
      <c r="W279" s="0" t="n">
        <v>1.5605</v>
      </c>
      <c r="X279" s="23" t="n">
        <f aca="false">(W279-W278)/W278</f>
        <v>-0.0124042782102399</v>
      </c>
      <c r="Y279" s="0" t="n">
        <v>1.6162</v>
      </c>
      <c r="Z279" s="24" t="n">
        <f aca="false">(Y279-Y278)/Y278</f>
        <v>0.00434998757146415</v>
      </c>
    </row>
    <row r="280" customFormat="false" ht="13.8" hidden="false" customHeight="false" outlineLevel="0" collapsed="false">
      <c r="A280" s="8" t="n">
        <v>39566</v>
      </c>
      <c r="B280" s="0" t="n">
        <v>86.29</v>
      </c>
      <c r="C280" s="9" t="n">
        <f aca="false">(B280-B279)/B279</f>
        <v>0.0262844909609896</v>
      </c>
      <c r="D280" s="0" t="n">
        <v>18.18</v>
      </c>
      <c r="E280" s="9" t="n">
        <f aca="false">(D280-D279)/D279</f>
        <v>-0.0719754977029097</v>
      </c>
      <c r="F280" s="0" t="n">
        <v>141.51</v>
      </c>
      <c r="G280" s="9" t="n">
        <f aca="false">(F280-F279)/F279</f>
        <v>0.0136819484240687</v>
      </c>
      <c r="H280" s="0" t="n">
        <f aca="false">AVERAGE(F266:F279)</f>
        <v>134.395</v>
      </c>
      <c r="I280" s="0" t="n">
        <f aca="false">AVERAGE(F273:F279)</f>
        <v>134.507142857143</v>
      </c>
      <c r="J280" s="0" t="n">
        <f aca="false">AVERAGE(F277:F279)</f>
        <v>137.153333333333</v>
      </c>
      <c r="K280" s="10" t="n">
        <v>118.53</v>
      </c>
      <c r="L280" s="9" t="n">
        <f aca="false">(K280-K279)/K279</f>
        <v>0.0367357648911047</v>
      </c>
      <c r="M280" s="10" t="n">
        <v>114.34</v>
      </c>
      <c r="N280" s="9" t="n">
        <f aca="false">(M280-M279)/M279</f>
        <v>0.0355008150697338</v>
      </c>
      <c r="O280" s="0" t="n">
        <v>2.28</v>
      </c>
      <c r="P280" s="9" t="n">
        <f aca="false">(O280-O279)/O279</f>
        <v>0.0088495575221241</v>
      </c>
      <c r="Q280" s="10" t="n">
        <v>0.82</v>
      </c>
      <c r="R280" s="9" t="n">
        <f aca="false">(Q280-Q279)/Q279</f>
        <v>0.0379746835443038</v>
      </c>
      <c r="S280" s="10" t="n">
        <v>3.83</v>
      </c>
      <c r="T280" s="9" t="n">
        <f aca="false">(S280-S279)/S279</f>
        <v>0.005249343832021</v>
      </c>
      <c r="U280" s="13" t="n">
        <v>2.4</v>
      </c>
      <c r="V280" s="9" t="n">
        <f aca="false">(U280-U279)/U279</f>
        <v>-0.0513833992094861</v>
      </c>
      <c r="W280" s="0" t="n">
        <v>1.5416</v>
      </c>
      <c r="X280" s="23" t="n">
        <f aca="false">(W280-W279)/W279</f>
        <v>-0.012111502723486</v>
      </c>
      <c r="Y280" s="0" t="n">
        <v>1.6273</v>
      </c>
      <c r="Z280" s="24" t="n">
        <f aca="false">(Y280-Y279)/Y279</f>
        <v>0.00686796188590514</v>
      </c>
    </row>
    <row r="281" customFormat="false" ht="13.8" hidden="false" customHeight="false" outlineLevel="0" collapsed="false">
      <c r="A281" s="8" t="n">
        <v>39573</v>
      </c>
      <c r="B281" s="0" t="n">
        <v>81.03</v>
      </c>
      <c r="C281" s="9" t="n">
        <f aca="false">(B281-B280)/B280</f>
        <v>-0.0609572372233168</v>
      </c>
      <c r="D281" s="0" t="n">
        <v>19.41</v>
      </c>
      <c r="E281" s="9" t="n">
        <f aca="false">(D281-D280)/D280</f>
        <v>0.0676567656765677</v>
      </c>
      <c r="F281" s="0" t="n">
        <v>138.9</v>
      </c>
      <c r="G281" s="9" t="n">
        <f aca="false">(F281-F280)/F280</f>
        <v>-0.018443926224295</v>
      </c>
      <c r="H281" s="0" t="n">
        <f aca="false">AVERAGE(F267:F280)</f>
        <v>135</v>
      </c>
      <c r="I281" s="0" t="n">
        <f aca="false">AVERAGE(F274:F280)</f>
        <v>136.207142857143</v>
      </c>
      <c r="J281" s="0" t="n">
        <f aca="false">AVERAGE(F278:F280)</f>
        <v>139.863333333333</v>
      </c>
      <c r="K281" s="10" t="n">
        <v>115.42</v>
      </c>
      <c r="L281" s="9" t="n">
        <f aca="false">(K281-K280)/K280</f>
        <v>-0.0262380831856914</v>
      </c>
      <c r="M281" s="10" t="n">
        <v>111.98</v>
      </c>
      <c r="N281" s="9" t="n">
        <f aca="false">(M281-M280)/M280</f>
        <v>-0.0206401959069442</v>
      </c>
      <c r="O281" s="0" t="n">
        <v>2.3</v>
      </c>
      <c r="P281" s="9" t="n">
        <f aca="false">(O281-O280)/O280</f>
        <v>0.00877192982456122</v>
      </c>
      <c r="Q281" s="10" t="n">
        <v>0.77</v>
      </c>
      <c r="R281" s="9" t="n">
        <f aca="false">(Q281-Q280)/Q280</f>
        <v>-0.0609756097560976</v>
      </c>
      <c r="S281" s="10" t="n">
        <v>3.85</v>
      </c>
      <c r="T281" s="9" t="n">
        <f aca="false">(S281-S280)/S280</f>
        <v>0.00522193211488251</v>
      </c>
      <c r="U281" s="13" t="n">
        <v>2.24</v>
      </c>
      <c r="V281" s="9" t="n">
        <f aca="false">(U281-U280)/U280</f>
        <v>-0.0666666666666667</v>
      </c>
      <c r="W281" s="0" t="n">
        <v>1.5479</v>
      </c>
      <c r="X281" s="23" t="n">
        <f aca="false">(W281-W280)/W280</f>
        <v>0.00408666320705758</v>
      </c>
      <c r="Y281" s="0" t="n">
        <v>1.6112</v>
      </c>
      <c r="Z281" s="24" t="n">
        <f aca="false">(Y281-Y280)/Y280</f>
        <v>-0.00989368893258759</v>
      </c>
    </row>
    <row r="282" customFormat="false" ht="13.8" hidden="false" customHeight="false" outlineLevel="0" collapsed="false">
      <c r="A282" s="8" t="n">
        <v>39580</v>
      </c>
      <c r="B282" s="0" t="n">
        <v>80.73</v>
      </c>
      <c r="C282" s="9" t="n">
        <f aca="false">(B282-B281)/B281</f>
        <v>-0.00370233246945572</v>
      </c>
      <c r="D282" s="0" t="n">
        <v>16.47</v>
      </c>
      <c r="E282" s="9" t="n">
        <f aca="false">(D282-D281)/D281</f>
        <v>-0.151468315301391</v>
      </c>
      <c r="F282" s="0" t="n">
        <v>142.66</v>
      </c>
      <c r="G282" s="9" t="n">
        <f aca="false">(F282-F281)/F281</f>
        <v>0.0270698344132469</v>
      </c>
      <c r="H282" s="0" t="n">
        <f aca="false">AVERAGE(F268:F281)</f>
        <v>134.951428571429</v>
      </c>
      <c r="I282" s="0" t="n">
        <f aca="false">AVERAGE(F275:F281)</f>
        <v>137.181428571429</v>
      </c>
      <c r="J282" s="0" t="n">
        <f aca="false">AVERAGE(F279:F281)</f>
        <v>140.003333333333</v>
      </c>
      <c r="K282" s="10" t="n">
        <v>123.01</v>
      </c>
      <c r="L282" s="9" t="n">
        <f aca="false">(K282-K281)/K281</f>
        <v>0.0657598336510137</v>
      </c>
      <c r="M282" s="10" t="n">
        <v>119.84</v>
      </c>
      <c r="N282" s="9" t="n">
        <f aca="false">(M282-M281)/M281</f>
        <v>0.0701911055545633</v>
      </c>
      <c r="O282" s="0" t="n">
        <v>2.34</v>
      </c>
      <c r="P282" s="9" t="n">
        <f aca="false">(O282-O281)/O281</f>
        <v>0.0173913043478261</v>
      </c>
      <c r="Q282" s="10" t="n">
        <v>0.78</v>
      </c>
      <c r="R282" s="9" t="n">
        <f aca="false">(Q282-Q281)/Q281</f>
        <v>0.012987012987013</v>
      </c>
      <c r="S282" s="10" t="n">
        <v>3.86</v>
      </c>
      <c r="T282" s="9" t="n">
        <f aca="false">(S282-S281)/S281</f>
        <v>0.00259740259740254</v>
      </c>
      <c r="U282" s="13" t="n">
        <v>2.07</v>
      </c>
      <c r="V282" s="9" t="n">
        <f aca="false">(U282-U281)/U281</f>
        <v>-0.0758928571428573</v>
      </c>
      <c r="W282" s="0" t="n">
        <v>1.558</v>
      </c>
      <c r="X282" s="23" t="n">
        <f aca="false">(W282-W281)/W281</f>
        <v>0.00652496931326313</v>
      </c>
      <c r="Y282" s="0" t="n">
        <v>1.6318</v>
      </c>
      <c r="Z282" s="24" t="n">
        <f aca="false">(Y282-Y281)/Y281</f>
        <v>0.0127855014895728</v>
      </c>
    </row>
    <row r="283" customFormat="false" ht="13.8" hidden="false" customHeight="false" outlineLevel="0" collapsed="false">
      <c r="A283" s="8" t="n">
        <v>39587</v>
      </c>
      <c r="B283" s="0" t="n">
        <v>76.2</v>
      </c>
      <c r="C283" s="9" t="n">
        <f aca="false">(B283-B282)/B282</f>
        <v>-0.0561129691564474</v>
      </c>
      <c r="D283" s="0" t="n">
        <v>19.55</v>
      </c>
      <c r="E283" s="9" t="n">
        <f aca="false">(D283-D282)/D282</f>
        <v>0.187006678809958</v>
      </c>
      <c r="F283" s="0" t="n">
        <v>137.64</v>
      </c>
      <c r="G283" s="9" t="n">
        <f aca="false">(F283-F282)/F282</f>
        <v>-0.0351885602130941</v>
      </c>
      <c r="H283" s="0" t="n">
        <f aca="false">AVERAGE(F269:F282)</f>
        <v>135.636428571429</v>
      </c>
      <c r="I283" s="0" t="n">
        <f aca="false">AVERAGE(F276:F282)</f>
        <v>138.774285714286</v>
      </c>
      <c r="J283" s="0" t="n">
        <f aca="false">AVERAGE(F280:F282)</f>
        <v>141.023333333333</v>
      </c>
      <c r="K283" s="10" t="n">
        <v>124.96</v>
      </c>
      <c r="L283" s="9" t="n">
        <f aca="false">(K283-K282)/K282</f>
        <v>0.0158523697260384</v>
      </c>
      <c r="M283" s="10" t="n">
        <v>122.58</v>
      </c>
      <c r="N283" s="9" t="n">
        <f aca="false">(M283-M282)/M282</f>
        <v>0.022863818424566</v>
      </c>
      <c r="O283" s="0" t="n">
        <v>2.44</v>
      </c>
      <c r="P283" s="9" t="n">
        <f aca="false">(O283-O282)/O282</f>
        <v>0.0427350427350428</v>
      </c>
      <c r="Q283" s="10" t="n">
        <v>0.68</v>
      </c>
      <c r="R283" s="9" t="n">
        <f aca="false">(Q283-Q282)/Q282</f>
        <v>-0.128205128205128</v>
      </c>
      <c r="S283" s="10" t="n">
        <v>3.84</v>
      </c>
      <c r="T283" s="9" t="n">
        <f aca="false">(S283-S282)/S282</f>
        <v>-0.00518134715025907</v>
      </c>
      <c r="U283" s="13" t="n">
        <v>2.02</v>
      </c>
      <c r="V283" s="9" t="n">
        <f aca="false">(U283-U282)/U282</f>
        <v>-0.0241545893719808</v>
      </c>
      <c r="W283" s="0" t="n">
        <v>1.579</v>
      </c>
      <c r="X283" s="23" t="n">
        <f aca="false">(W283-W282)/W282</f>
        <v>0.0134788189987162</v>
      </c>
      <c r="Y283" s="0" t="n">
        <v>1.6136</v>
      </c>
      <c r="Z283" s="24" t="n">
        <f aca="false">(Y283-Y282)/Y282</f>
        <v>-0.0111533276136781</v>
      </c>
    </row>
    <row r="284" customFormat="false" ht="13.8" hidden="false" customHeight="false" outlineLevel="0" collapsed="false">
      <c r="A284" s="8" t="n">
        <v>39595</v>
      </c>
      <c r="B284" s="0" t="n">
        <v>75.87</v>
      </c>
      <c r="C284" s="9" t="n">
        <f aca="false">(B284-B283)/B283</f>
        <v>-0.0043307086614173</v>
      </c>
      <c r="D284" s="0" t="n">
        <v>17.83</v>
      </c>
      <c r="E284" s="9" t="n">
        <f aca="false">(D284-D283)/D283</f>
        <v>-0.0879795396419438</v>
      </c>
      <c r="F284" s="0" t="n">
        <v>140.35</v>
      </c>
      <c r="G284" s="9" t="n">
        <f aca="false">(F284-F283)/F283</f>
        <v>0.0196890438825923</v>
      </c>
      <c r="H284" s="0" t="n">
        <f aca="false">AVERAGE(F270:F283)</f>
        <v>135.815</v>
      </c>
      <c r="I284" s="0" t="n">
        <f aca="false">AVERAGE(F277:F283)</f>
        <v>138.881428571429</v>
      </c>
      <c r="J284" s="0" t="n">
        <f aca="false">AVERAGE(F281:F283)</f>
        <v>139.733333333333</v>
      </c>
      <c r="K284" s="10" t="n">
        <v>130.14</v>
      </c>
      <c r="L284" s="9" t="n">
        <f aca="false">(K284-K283)/K283</f>
        <v>0.0414532650448143</v>
      </c>
      <c r="M284" s="10" t="n">
        <v>126.47</v>
      </c>
      <c r="N284" s="9" t="n">
        <f aca="false">(M284-M283)/M283</f>
        <v>0.0317343775493555</v>
      </c>
      <c r="O284" s="0" t="n">
        <v>2.4</v>
      </c>
      <c r="P284" s="9" t="n">
        <f aca="false">(O284-O283)/O283</f>
        <v>-0.0163934426229508</v>
      </c>
      <c r="Q284" s="10" t="n">
        <v>0.96</v>
      </c>
      <c r="R284" s="9" t="n">
        <f aca="false">(Q284-Q283)/Q283</f>
        <v>0.411764705882353</v>
      </c>
      <c r="S284" s="10" t="n">
        <v>4.03</v>
      </c>
      <c r="T284" s="9" t="n">
        <f aca="false">(S284-S283)/S283</f>
        <v>0.0494791666666668</v>
      </c>
      <c r="U284" s="13" t="n">
        <v>2.17</v>
      </c>
      <c r="V284" s="9" t="n">
        <f aca="false">(U284-U283)/U283</f>
        <v>0.0742574257425745</v>
      </c>
      <c r="W284" s="0" t="n">
        <v>1.5554</v>
      </c>
      <c r="X284" s="23" t="n">
        <f aca="false">(W284-W283)/W283</f>
        <v>-0.0149461684610513</v>
      </c>
      <c r="Y284" s="0" t="n">
        <v>1.6218</v>
      </c>
      <c r="Z284" s="24" t="n">
        <f aca="false">(Y284-Y283)/Y283</f>
        <v>0.0050818046603867</v>
      </c>
    </row>
    <row r="285" customFormat="false" ht="13.8" hidden="false" customHeight="false" outlineLevel="0" collapsed="false">
      <c r="A285" s="8" t="n">
        <v>39601</v>
      </c>
      <c r="B285" s="0" t="n">
        <v>69.62</v>
      </c>
      <c r="C285" s="9" t="n">
        <f aca="false">(B285-B284)/B284</f>
        <v>-0.0823777514168973</v>
      </c>
      <c r="D285" s="0" t="n">
        <v>23.56</v>
      </c>
      <c r="E285" s="9" t="n">
        <f aca="false">(D285-D284)/D284</f>
        <v>0.321368480089736</v>
      </c>
      <c r="F285" s="0" t="n">
        <v>136.29</v>
      </c>
      <c r="G285" s="9" t="n">
        <f aca="false">(F285-F284)/F284</f>
        <v>-0.028927680798005</v>
      </c>
      <c r="H285" s="0" t="n">
        <f aca="false">AVERAGE(F271:F284)</f>
        <v>136.152857142857</v>
      </c>
      <c r="I285" s="0" t="n">
        <f aca="false">AVERAGE(F278:F284)</f>
        <v>139.877142857143</v>
      </c>
      <c r="J285" s="0" t="n">
        <f aca="false">AVERAGE(F282:F284)</f>
        <v>140.216666666667</v>
      </c>
      <c r="K285" s="10" t="n">
        <v>128.47</v>
      </c>
      <c r="L285" s="9" t="n">
        <f aca="false">(K285-K284)/K284</f>
        <v>-0.0128323344090978</v>
      </c>
      <c r="M285" s="10" t="n">
        <v>128.76</v>
      </c>
      <c r="N285" s="9" t="n">
        <f aca="false">(M285-M284)/M284</f>
        <v>0.0181070609630742</v>
      </c>
      <c r="O285" s="0" t="n">
        <v>2.38</v>
      </c>
      <c r="P285" s="9" t="n">
        <f aca="false">(O285-O284)/O284</f>
        <v>-0.00833333333333334</v>
      </c>
      <c r="Q285" s="10" t="n">
        <v>0.88</v>
      </c>
      <c r="R285" s="9" t="n">
        <f aca="false">(Q285-Q284)/Q284</f>
        <v>-0.0833333333333333</v>
      </c>
      <c r="S285" s="10" t="n">
        <v>3.98</v>
      </c>
      <c r="T285" s="9" t="n">
        <f aca="false">(S285-S284)/S284</f>
        <v>-0.0124069478908189</v>
      </c>
      <c r="U285" s="13" t="n">
        <v>2.16</v>
      </c>
      <c r="V285" s="9" t="n">
        <f aca="false">(U285-U284)/U284</f>
        <v>-0.00460829493087548</v>
      </c>
      <c r="W285" s="0" t="n">
        <v>1.5761</v>
      </c>
      <c r="X285" s="23" t="n">
        <f aca="false">(W285-W284)/W284</f>
        <v>0.0133084737045134</v>
      </c>
      <c r="Y285" s="0" t="n">
        <v>1.6084</v>
      </c>
      <c r="Z285" s="24" t="n">
        <f aca="false">(Y285-Y284)/Y284</f>
        <v>-0.00826242446664192</v>
      </c>
    </row>
    <row r="286" customFormat="false" ht="13.8" hidden="false" customHeight="false" outlineLevel="0" collapsed="false">
      <c r="A286" s="8" t="n">
        <v>39608</v>
      </c>
      <c r="B286" s="0" t="n">
        <v>66.63</v>
      </c>
      <c r="C286" s="9" t="n">
        <f aca="false">(B286-B285)/B285</f>
        <v>-0.0429474288997416</v>
      </c>
      <c r="D286" s="0" t="n">
        <v>21.22</v>
      </c>
      <c r="E286" s="9" t="n">
        <f aca="false">(D286-D285)/D285</f>
        <v>-0.099320882852292</v>
      </c>
      <c r="F286" s="0" t="n">
        <v>136.15</v>
      </c>
      <c r="G286" s="9" t="n">
        <f aca="false">(F286-F285)/F285</f>
        <v>-0.00102722136620432</v>
      </c>
      <c r="H286" s="0" t="n">
        <f aca="false">AVERAGE(F272:F285)</f>
        <v>136.329285714286</v>
      </c>
      <c r="I286" s="0" t="n">
        <f aca="false">AVERAGE(F279:F285)</f>
        <v>139.564285714286</v>
      </c>
      <c r="J286" s="0" t="n">
        <f aca="false">AVERAGE(F283:F285)</f>
        <v>138.093333333333</v>
      </c>
      <c r="K286" s="10" t="n">
        <v>128.16</v>
      </c>
      <c r="L286" s="9" t="n">
        <f aca="false">(K286-K285)/K285</f>
        <v>-0.00241301471160584</v>
      </c>
      <c r="M286" s="10" t="n">
        <v>126.33</v>
      </c>
      <c r="N286" s="9" t="n">
        <f aca="false">(M286-M285)/M285</f>
        <v>-0.0188723205964585</v>
      </c>
      <c r="O286" s="0" t="n">
        <v>2.51</v>
      </c>
      <c r="P286" s="9" t="n">
        <f aca="false">(O286-O285)/O285</f>
        <v>0.0546218487394958</v>
      </c>
      <c r="Q286" s="10" t="n">
        <v>1.06</v>
      </c>
      <c r="R286" s="9" t="n">
        <f aca="false">(Q286-Q285)/Q285</f>
        <v>0.204545454545455</v>
      </c>
      <c r="S286" s="10" t="n">
        <v>4.15</v>
      </c>
      <c r="T286" s="9" t="n">
        <f aca="false">(S286-S285)/S285</f>
        <v>0.0427135678391961</v>
      </c>
      <c r="U286" s="13" t="n">
        <v>2.22</v>
      </c>
      <c r="V286" s="9" t="n">
        <f aca="false">(U286-U285)/U285</f>
        <v>0.027777777777778</v>
      </c>
      <c r="W286" s="0" t="n">
        <v>1.536</v>
      </c>
      <c r="X286" s="23" t="n">
        <f aca="false">(W286-W285)/W285</f>
        <v>-0.0254425480616712</v>
      </c>
      <c r="Y286" s="0" t="n">
        <v>1.6115</v>
      </c>
      <c r="Z286" s="24" t="n">
        <f aca="false">(Y286-Y285)/Y285</f>
        <v>0.00192738124844559</v>
      </c>
    </row>
    <row r="287" customFormat="false" ht="13.8" hidden="false" customHeight="false" outlineLevel="0" collapsed="false">
      <c r="A287" s="8" t="n">
        <v>39615</v>
      </c>
      <c r="B287" s="0" t="n">
        <v>62.72</v>
      </c>
      <c r="C287" s="9" t="n">
        <f aca="false">(B287-B286)/B286</f>
        <v>-0.0586822752513882</v>
      </c>
      <c r="D287" s="0" t="n">
        <v>22.87</v>
      </c>
      <c r="E287" s="9" t="n">
        <f aca="false">(D287-D286)/D286</f>
        <v>0.0777568331762489</v>
      </c>
      <c r="F287" s="0" t="n">
        <v>131.58</v>
      </c>
      <c r="G287" s="9" t="n">
        <f aca="false">(F287-F286)/F286</f>
        <v>-0.0335659199412412</v>
      </c>
      <c r="H287" s="0" t="n">
        <f aca="false">AVERAGE(F273:F286)</f>
        <v>136.789285714286</v>
      </c>
      <c r="I287" s="0" t="n">
        <f aca="false">AVERAGE(F280:F286)</f>
        <v>139.071428571429</v>
      </c>
      <c r="J287" s="0" t="n">
        <f aca="false">AVERAGE(F284:F286)</f>
        <v>137.596666666667</v>
      </c>
      <c r="K287" s="10" t="n">
        <v>134.8</v>
      </c>
      <c r="L287" s="9" t="n">
        <f aca="false">(K287-K286)/K286</f>
        <v>0.0518102372034958</v>
      </c>
      <c r="M287" s="10" t="n">
        <v>134.12</v>
      </c>
      <c r="N287" s="9" t="n">
        <f aca="false">(M287-M286)/M286</f>
        <v>0.0616638961450171</v>
      </c>
      <c r="O287" s="0" t="n">
        <v>2.56</v>
      </c>
      <c r="P287" s="9" t="n">
        <f aca="false">(O287-O286)/O286</f>
        <v>0.0199203187250997</v>
      </c>
      <c r="Q287" s="10" t="n">
        <v>1.08</v>
      </c>
      <c r="R287" s="9" t="n">
        <f aca="false">(Q287-Q286)/Q286</f>
        <v>0.0188679245283019</v>
      </c>
      <c r="S287" s="10" t="n">
        <v>4.2</v>
      </c>
      <c r="T287" s="9" t="n">
        <f aca="false">(S287-S286)/S286</f>
        <v>0.0120481927710843</v>
      </c>
      <c r="U287" s="13" t="n">
        <v>2.28</v>
      </c>
      <c r="V287" s="9" t="n">
        <f aca="false">(U287-U286)/U286</f>
        <v>0.0270270270270268</v>
      </c>
      <c r="W287" s="0" t="n">
        <v>1.5621</v>
      </c>
      <c r="X287" s="23" t="n">
        <f aca="false">(W287-W286)/W286</f>
        <v>0.0169921875</v>
      </c>
      <c r="Y287" s="0" t="n">
        <v>1.6161</v>
      </c>
      <c r="Z287" s="24" t="n">
        <f aca="false">(Y287-Y286)/Y286</f>
        <v>0.00285448340055858</v>
      </c>
    </row>
    <row r="288" customFormat="false" ht="13.8" hidden="false" customHeight="false" outlineLevel="0" collapsed="false">
      <c r="A288" s="8" t="n">
        <v>39622</v>
      </c>
      <c r="B288" s="0" t="n">
        <v>59.27</v>
      </c>
      <c r="C288" s="9" t="n">
        <f aca="false">(B288-B287)/B287</f>
        <v>-0.0550063775510203</v>
      </c>
      <c r="D288" s="0" t="n">
        <v>23.44</v>
      </c>
      <c r="E288" s="9" t="n">
        <f aca="false">(D288-D287)/D287</f>
        <v>0.024923480542195</v>
      </c>
      <c r="F288" s="0" t="n">
        <v>127.53</v>
      </c>
      <c r="G288" s="9" t="n">
        <f aca="false">(F288-F287)/F287</f>
        <v>-0.03077975376197</v>
      </c>
      <c r="H288" s="0" t="n">
        <f aca="false">AVERAGE(F274:F287)</f>
        <v>136.93</v>
      </c>
      <c r="I288" s="0" t="n">
        <f aca="false">AVERAGE(F281:F287)</f>
        <v>137.652857142857</v>
      </c>
      <c r="J288" s="0" t="n">
        <f aca="false">AVERAGE(F285:F287)</f>
        <v>134.673333333333</v>
      </c>
      <c r="K288" s="10" t="n">
        <v>134.34</v>
      </c>
      <c r="L288" s="9" t="n">
        <f aca="false">(K288-K287)/K287</f>
        <v>-0.00341246290801193</v>
      </c>
      <c r="M288" s="10" t="n">
        <v>132.08</v>
      </c>
      <c r="N288" s="9" t="n">
        <f aca="false">(M288-M287)/M287</f>
        <v>-0.0152102594691321</v>
      </c>
      <c r="O288" s="0" t="n">
        <v>2.59</v>
      </c>
      <c r="P288" s="9" t="n">
        <f aca="false">(O288-O287)/O287</f>
        <v>0.0117187499999999</v>
      </c>
      <c r="Q288" s="10" t="n">
        <v>0.91</v>
      </c>
      <c r="R288" s="9" t="n">
        <f aca="false">(Q288-Q287)/Q287</f>
        <v>-0.157407407407407</v>
      </c>
      <c r="S288" s="10" t="n">
        <v>4.09</v>
      </c>
      <c r="T288" s="9" t="n">
        <f aca="false">(S288-S287)/S287</f>
        <v>-0.0261904761904763</v>
      </c>
      <c r="U288" s="13" t="n">
        <v>2.34</v>
      </c>
      <c r="V288" s="9" t="n">
        <f aca="false">(U288-U287)/U287</f>
        <v>0.026315789473684</v>
      </c>
      <c r="W288" s="0" t="n">
        <v>1.5773</v>
      </c>
      <c r="X288" s="23" t="n">
        <f aca="false">(W288-W287)/W287</f>
        <v>0.00973049100569738</v>
      </c>
      <c r="Y288" s="0" t="n">
        <v>1.6077</v>
      </c>
      <c r="Z288" s="24" t="n">
        <f aca="false">(Y288-Y287)/Y287</f>
        <v>-0.00519769816224255</v>
      </c>
    </row>
    <row r="289" customFormat="false" ht="13.8" hidden="false" customHeight="false" outlineLevel="0" collapsed="false">
      <c r="A289" s="8" t="n">
        <v>39629</v>
      </c>
      <c r="B289" s="0" t="n">
        <v>57.3</v>
      </c>
      <c r="C289" s="9" t="n">
        <f aca="false">(B289-B288)/B288</f>
        <v>-0.0332377256622238</v>
      </c>
      <c r="D289" s="0" t="n">
        <v>24.79</v>
      </c>
      <c r="E289" s="9" t="n">
        <f aca="false">(D289-D288)/D288</f>
        <v>0.05759385665529</v>
      </c>
      <c r="F289" s="0" t="n">
        <v>126.31</v>
      </c>
      <c r="G289" s="9" t="n">
        <f aca="false">(F289-F288)/F288</f>
        <v>-0.00956637653885359</v>
      </c>
      <c r="H289" s="0" t="n">
        <f aca="false">AVERAGE(F275:F288)</f>
        <v>136.605</v>
      </c>
      <c r="I289" s="0" t="n">
        <f aca="false">AVERAGE(F282:F288)</f>
        <v>136.028571428571</v>
      </c>
      <c r="J289" s="0" t="n">
        <f aca="false">AVERAGE(F286:F288)</f>
        <v>131.753333333333</v>
      </c>
      <c r="K289" s="10" t="n">
        <v>137</v>
      </c>
      <c r="L289" s="9" t="n">
        <f aca="false">(K289-K288)/K288</f>
        <v>0.0198005061783534</v>
      </c>
      <c r="M289" s="10" t="n">
        <v>135.54</v>
      </c>
      <c r="N289" s="9" t="n">
        <f aca="false">(M289-M288)/M288</f>
        <v>0.0261962447001815</v>
      </c>
      <c r="O289" s="0" t="n">
        <v>2.68</v>
      </c>
      <c r="P289" s="9" t="n">
        <f aca="false">(O289-O288)/O288</f>
        <v>0.0347490347490347</v>
      </c>
      <c r="Q289" s="10" t="n">
        <v>0.64</v>
      </c>
      <c r="R289" s="9" t="n">
        <f aca="false">(Q289-Q288)/Q288</f>
        <v>-0.296703296703297</v>
      </c>
      <c r="S289" s="10" t="n">
        <v>4</v>
      </c>
      <c r="T289" s="9" t="n">
        <f aca="false">(S289-S288)/S288</f>
        <v>-0.0220048899755501</v>
      </c>
      <c r="U289" s="13" t="n">
        <v>2.17</v>
      </c>
      <c r="V289" s="9" t="n">
        <f aca="false">(U289-U288)/U288</f>
        <v>-0.0726495726495726</v>
      </c>
      <c r="W289" s="0" t="n">
        <v>1.571</v>
      </c>
      <c r="X289" s="23" t="n">
        <f aca="false">(W289-W288)/W288</f>
        <v>-0.00399416724782841</v>
      </c>
      <c r="Y289" s="0" t="n">
        <v>1.6084</v>
      </c>
      <c r="Z289" s="24" t="n">
        <f aca="false">(Y289-Y288)/Y288</f>
        <v>0.000435404615289012</v>
      </c>
    </row>
    <row r="290" customFormat="false" ht="13.8" hidden="false" customHeight="false" outlineLevel="0" collapsed="false">
      <c r="A290" s="8" t="n">
        <v>39636</v>
      </c>
      <c r="B290" s="0" t="n">
        <v>54.67</v>
      </c>
      <c r="C290" s="9" t="n">
        <f aca="false">(B290-B289)/B289</f>
        <v>-0.0458987783595113</v>
      </c>
      <c r="D290" s="0" t="n">
        <v>27.49</v>
      </c>
      <c r="E290" s="9" t="n">
        <f aca="false">(D290-D289)/D289</f>
        <v>0.108914885034288</v>
      </c>
      <c r="F290" s="0" t="n">
        <v>123.84</v>
      </c>
      <c r="G290" s="9" t="n">
        <f aca="false">(F290-F289)/F289</f>
        <v>-0.0195550629403848</v>
      </c>
      <c r="H290" s="0" t="n">
        <f aca="false">AVERAGE(F276:F289)</f>
        <v>136.233571428571</v>
      </c>
      <c r="I290" s="0" t="n">
        <f aca="false">AVERAGE(F283:F289)</f>
        <v>133.692857142857</v>
      </c>
      <c r="J290" s="0" t="n">
        <f aca="false">AVERAGE(F287:F289)</f>
        <v>128.473333333333</v>
      </c>
      <c r="K290" s="10" t="n">
        <v>142.52</v>
      </c>
      <c r="L290" s="9" t="n">
        <f aca="false">(K290-K289)/K289</f>
        <v>0.0402919708029198</v>
      </c>
      <c r="M290" s="10" t="n">
        <v>141.07</v>
      </c>
      <c r="N290" s="9" t="n">
        <f aca="false">(M290-M289)/M289</f>
        <v>0.0407997639073336</v>
      </c>
      <c r="O290" s="0" t="n">
        <v>2.57</v>
      </c>
      <c r="P290" s="9" t="n">
        <f aca="false">(O290-O289)/O289</f>
        <v>-0.0410447761194028</v>
      </c>
      <c r="Q290" s="10" t="n">
        <v>0.61</v>
      </c>
      <c r="R290" s="9" t="n">
        <f aca="false">(Q290-Q289)/Q289</f>
        <v>-0.046875</v>
      </c>
      <c r="S290" s="10" t="n">
        <v>3.9</v>
      </c>
      <c r="T290" s="9" t="n">
        <f aca="false">(S290-S289)/S289</f>
        <v>-0.025</v>
      </c>
      <c r="U290" s="13" t="n">
        <v>2.16</v>
      </c>
      <c r="V290" s="9" t="n">
        <f aca="false">(U290-U289)/U289</f>
        <v>-0.00460829493087548</v>
      </c>
      <c r="W290" s="0" t="n">
        <v>1.5925</v>
      </c>
      <c r="X290" s="23" t="n">
        <f aca="false">(W290-W289)/W289</f>
        <v>0.0136855506047103</v>
      </c>
      <c r="Y290" s="0" t="n">
        <v>1.6188</v>
      </c>
      <c r="Z290" s="24" t="n">
        <f aca="false">(Y290-Y289)/Y289</f>
        <v>0.00646605322059187</v>
      </c>
    </row>
    <row r="291" customFormat="false" ht="13.8" hidden="false" customHeight="false" outlineLevel="0" collapsed="false">
      <c r="A291" s="8" t="n">
        <v>39643</v>
      </c>
      <c r="B291" s="0" t="n">
        <v>62.78</v>
      </c>
      <c r="C291" s="9" t="n">
        <f aca="false">(B291-B290)/B290</f>
        <v>0.148344613133346</v>
      </c>
      <c r="D291" s="0" t="n">
        <v>24.05</v>
      </c>
      <c r="E291" s="9" t="n">
        <f aca="false">(D291-D290)/D290</f>
        <v>-0.125136413241179</v>
      </c>
      <c r="F291" s="0" t="n">
        <v>125.98</v>
      </c>
      <c r="G291" s="9" t="n">
        <f aca="false">(F291-F290)/F290</f>
        <v>0.017280361757106</v>
      </c>
      <c r="H291" s="0" t="n">
        <f aca="false">AVERAGE(F277:F290)</f>
        <v>135.301428571429</v>
      </c>
      <c r="I291" s="0" t="n">
        <f aca="false">AVERAGE(F284:F290)</f>
        <v>131.721428571429</v>
      </c>
      <c r="J291" s="0" t="n">
        <f aca="false">AVERAGE(F288:F290)</f>
        <v>125.893333333333</v>
      </c>
      <c r="K291" s="10" t="n">
        <v>139.95</v>
      </c>
      <c r="L291" s="9" t="n">
        <f aca="false">(K291-K290)/K290</f>
        <v>-0.0180325568341287</v>
      </c>
      <c r="M291" s="10" t="n">
        <v>137.43</v>
      </c>
      <c r="N291" s="9" t="n">
        <f aca="false">(M291-M290)/M290</f>
        <v>-0.0258027929396752</v>
      </c>
      <c r="O291" s="0" t="n">
        <v>2.55</v>
      </c>
      <c r="P291" s="9" t="n">
        <f aca="false">(O291-O290)/O290</f>
        <v>-0.00778210116731535</v>
      </c>
      <c r="Q291" s="10" t="n">
        <v>0.71</v>
      </c>
      <c r="R291" s="9" t="n">
        <f aca="false">(Q291-Q290)/Q290</f>
        <v>0.163934426229508</v>
      </c>
      <c r="S291" s="10" t="n">
        <v>3.98</v>
      </c>
      <c r="T291" s="9" t="n">
        <f aca="false">(S291-S290)/S290</f>
        <v>0.0205128205128205</v>
      </c>
      <c r="U291" s="13" t="n">
        <v>2.57</v>
      </c>
      <c r="V291" s="9" t="n">
        <f aca="false">(U291-U290)/U290</f>
        <v>0.189814814814815</v>
      </c>
      <c r="W291" s="0" t="n">
        <v>1.5844</v>
      </c>
      <c r="X291" s="23" t="n">
        <f aca="false">(W291-W290)/W290</f>
        <v>-0.00508634222919937</v>
      </c>
      <c r="Y291" s="0" t="n">
        <v>1.6189</v>
      </c>
      <c r="Z291" s="24" t="n">
        <f aca="false">(Y291-Y290)/Y290</f>
        <v>6.17741536940876E-005</v>
      </c>
    </row>
    <row r="292" customFormat="false" ht="13.8" hidden="false" customHeight="false" outlineLevel="0" collapsed="false">
      <c r="A292" s="8" t="n">
        <v>39650</v>
      </c>
      <c r="B292" s="0" t="n">
        <v>63.2</v>
      </c>
      <c r="C292" s="9" t="n">
        <f aca="false">(B292-B291)/B291</f>
        <v>0.00669002867155148</v>
      </c>
      <c r="D292" s="0" t="n">
        <v>22.91</v>
      </c>
      <c r="E292" s="9" t="n">
        <f aca="false">(D292-D291)/D291</f>
        <v>-0.0474012474012474</v>
      </c>
      <c r="F292" s="0" t="n">
        <v>125.48</v>
      </c>
      <c r="G292" s="9" t="n">
        <f aca="false">(F292-F291)/F291</f>
        <v>-0.00396888394983331</v>
      </c>
      <c r="H292" s="0" t="n">
        <f aca="false">AVERAGE(F278:F291)</f>
        <v>134.772857142857</v>
      </c>
      <c r="I292" s="0" t="n">
        <f aca="false">AVERAGE(F285:F291)</f>
        <v>129.668571428571</v>
      </c>
      <c r="J292" s="0" t="n">
        <f aca="false">AVERAGE(F289:F291)</f>
        <v>125.376666666667</v>
      </c>
      <c r="K292" s="10" t="n">
        <v>135.37</v>
      </c>
      <c r="L292" s="9" t="n">
        <f aca="false">(K292-K291)/K291</f>
        <v>-0.0327259735619863</v>
      </c>
      <c r="M292" s="10" t="n">
        <v>135.05</v>
      </c>
      <c r="N292" s="9" t="n">
        <f aca="false">(M292-M291)/M291</f>
        <v>-0.0173179072982609</v>
      </c>
      <c r="O292" s="0" t="n">
        <v>2.34</v>
      </c>
      <c r="P292" s="9" t="n">
        <f aca="false">(O292-O291)/O291</f>
        <v>-0.0823529411764706</v>
      </c>
      <c r="Q292" s="10" t="n">
        <v>1.1</v>
      </c>
      <c r="R292" s="9" t="n">
        <f aca="false">(Q292-Q291)/Q291</f>
        <v>0.549295774647888</v>
      </c>
      <c r="S292" s="10" t="n">
        <v>4.11</v>
      </c>
      <c r="T292" s="9" t="n">
        <f aca="false">(S292-S291)/S291</f>
        <v>0.0326633165829147</v>
      </c>
      <c r="U292" s="13" t="n">
        <v>2.54</v>
      </c>
      <c r="V292" s="9" t="n">
        <f aca="false">(U292-U291)/U291</f>
        <v>-0.0116731517509729</v>
      </c>
      <c r="W292" s="0" t="n">
        <v>1.5696</v>
      </c>
      <c r="X292" s="23" t="n">
        <f aca="false">(W292-W291)/W291</f>
        <v>-0.00934107548598834</v>
      </c>
      <c r="Y292" s="0" t="n">
        <v>1.6277</v>
      </c>
      <c r="Z292" s="24" t="n">
        <f aca="false">(Y292-Y291)/Y291</f>
        <v>0.00543578973376979</v>
      </c>
    </row>
    <row r="293" customFormat="false" ht="13.8" hidden="false" customHeight="false" outlineLevel="0" collapsed="false">
      <c r="A293" s="8" t="n">
        <v>39657</v>
      </c>
      <c r="B293" s="0" t="n">
        <v>67.22</v>
      </c>
      <c r="C293" s="9" t="n">
        <f aca="false">(B293-B292)/B292</f>
        <v>0.0636075949367088</v>
      </c>
      <c r="D293" s="0" t="n">
        <v>22.57</v>
      </c>
      <c r="E293" s="9" t="n">
        <f aca="false">(D293-D292)/D292</f>
        <v>-0.0148406809253601</v>
      </c>
      <c r="F293" s="0" t="n">
        <v>126.16</v>
      </c>
      <c r="G293" s="9" t="n">
        <f aca="false">(F293-F292)/F292</f>
        <v>0.00541919030921256</v>
      </c>
      <c r="H293" s="0" t="n">
        <f aca="false">AVERAGE(F279:F292)</f>
        <v>133.844285714286</v>
      </c>
      <c r="I293" s="0" t="n">
        <f aca="false">AVERAGE(F286:F292)</f>
        <v>128.124285714286</v>
      </c>
      <c r="J293" s="0" t="n">
        <f aca="false">AVERAGE(F290:F292)</f>
        <v>125.1</v>
      </c>
      <c r="K293" s="10" t="n">
        <v>125.92</v>
      </c>
      <c r="L293" s="9" t="n">
        <f aca="false">(K293-K292)/K292</f>
        <v>-0.0698086725271478</v>
      </c>
      <c r="M293" s="10" t="n">
        <v>126.7</v>
      </c>
      <c r="N293" s="9" t="n">
        <f aca="false">(M293-M292)/M292</f>
        <v>-0.0618289522399112</v>
      </c>
      <c r="O293" s="0" t="n">
        <v>2.19</v>
      </c>
      <c r="P293" s="9" t="n">
        <f aca="false">(O293-O292)/O292</f>
        <v>-0.0641025641025641</v>
      </c>
      <c r="Q293" s="10" t="n">
        <v>1.12</v>
      </c>
      <c r="R293" s="9" t="n">
        <f aca="false">(Q293-Q292)/Q292</f>
        <v>0.0181818181818182</v>
      </c>
      <c r="S293" s="10" t="n">
        <v>4.04</v>
      </c>
      <c r="T293" s="9" t="n">
        <f aca="false">(S293-S292)/S292</f>
        <v>-0.0170316301703164</v>
      </c>
      <c r="U293" s="13" t="n">
        <v>2.37</v>
      </c>
      <c r="V293" s="9" t="n">
        <f aca="false">(U293-U292)/U292</f>
        <v>-0.0669291338582677</v>
      </c>
      <c r="W293" s="0" t="n">
        <v>1.554</v>
      </c>
      <c r="X293" s="23" t="n">
        <f aca="false">(W293-W292)/W292</f>
        <v>-0.00993883792048933</v>
      </c>
      <c r="Y293" s="0" t="n">
        <v>1.6334</v>
      </c>
      <c r="Z293" s="24" t="n">
        <f aca="false">(Y293-Y292)/Y292</f>
        <v>0.00350187380967011</v>
      </c>
    </row>
    <row r="294" customFormat="false" ht="13.8" hidden="false" customHeight="false" outlineLevel="0" collapsed="false">
      <c r="A294" s="8" t="n">
        <v>39664</v>
      </c>
      <c r="B294" s="0" t="n">
        <v>68.31</v>
      </c>
      <c r="C294" s="9" t="n">
        <f aca="false">(B294-B293)/B293</f>
        <v>0.0162154120797382</v>
      </c>
      <c r="D294" s="0" t="n">
        <v>20.66</v>
      </c>
      <c r="E294" s="9" t="n">
        <f aca="false">(D294-D293)/D293</f>
        <v>-0.0846256092157732</v>
      </c>
      <c r="F294" s="0" t="n">
        <v>129.37</v>
      </c>
      <c r="G294" s="9" t="n">
        <f aca="false">(F294-F293)/F293</f>
        <v>0.0254438807863032</v>
      </c>
      <c r="H294" s="0" t="n">
        <f aca="false">AVERAGE(F280:F293)</f>
        <v>132.884285714286</v>
      </c>
      <c r="I294" s="0" t="n">
        <f aca="false">AVERAGE(F287:F293)</f>
        <v>126.697142857143</v>
      </c>
      <c r="J294" s="0" t="n">
        <f aca="false">AVERAGE(F291:F293)</f>
        <v>125.873333333333</v>
      </c>
      <c r="K294" s="10" t="n">
        <v>124.57</v>
      </c>
      <c r="L294" s="9" t="n">
        <f aca="false">(K294-K293)/K293</f>
        <v>-0.0107210927573063</v>
      </c>
      <c r="M294" s="10" t="n">
        <v>124.43</v>
      </c>
      <c r="N294" s="9" t="n">
        <f aca="false">(M294-M293)/M293</f>
        <v>-0.0179163378058405</v>
      </c>
      <c r="O294" s="0" t="n">
        <v>2.09</v>
      </c>
      <c r="P294" s="9" t="n">
        <f aca="false">(O294-O293)/O293</f>
        <v>-0.0456621004566208</v>
      </c>
      <c r="Q294" s="10" t="n">
        <v>1.15</v>
      </c>
      <c r="R294" s="9" t="n">
        <f aca="false">(Q294-Q293)/Q293</f>
        <v>0.0267857142857141</v>
      </c>
      <c r="S294" s="10" t="n">
        <v>3.99</v>
      </c>
      <c r="T294" s="9" t="n">
        <f aca="false">(S294-S293)/S293</f>
        <v>-0.0123762376237623</v>
      </c>
      <c r="U294" s="13" t="n">
        <v>2.32</v>
      </c>
      <c r="V294" s="9" t="n">
        <f aca="false">(U294-U293)/U293</f>
        <v>-0.021097046413502</v>
      </c>
      <c r="W294" s="0" t="n">
        <v>1.5012</v>
      </c>
      <c r="X294" s="23" t="n">
        <f aca="false">(W294-W293)/W293</f>
        <v>-0.033976833976834</v>
      </c>
      <c r="Y294" s="0" t="n">
        <v>1.6232</v>
      </c>
      <c r="Z294" s="24" t="n">
        <f aca="false">(Y294-Y293)/Y293</f>
        <v>-0.00624464307579282</v>
      </c>
    </row>
    <row r="295" customFormat="false" ht="13.8" hidden="false" customHeight="false" outlineLevel="0" collapsed="false">
      <c r="A295" s="8" t="n">
        <v>39671</v>
      </c>
      <c r="B295" s="0" t="n">
        <v>66.17</v>
      </c>
      <c r="C295" s="9" t="n">
        <f aca="false">(B295-B294)/B294</f>
        <v>-0.0313277704582052</v>
      </c>
      <c r="D295" s="0" t="n">
        <v>19.58</v>
      </c>
      <c r="E295" s="9" t="n">
        <f aca="false">(D295-D294)/D294</f>
        <v>-0.0522749273959343</v>
      </c>
      <c r="F295" s="0" t="n">
        <v>130.17</v>
      </c>
      <c r="G295" s="9" t="n">
        <f aca="false">(F295-F294)/F294</f>
        <v>0.00618381386720247</v>
      </c>
      <c r="H295" s="0" t="n">
        <f aca="false">AVERAGE(F281:F294)</f>
        <v>132.017142857143</v>
      </c>
      <c r="I295" s="0" t="n">
        <f aca="false">AVERAGE(F288:F294)</f>
        <v>126.381428571429</v>
      </c>
      <c r="J295" s="0" t="n">
        <f aca="false">AVERAGE(F292:F294)</f>
        <v>127.003333333333</v>
      </c>
      <c r="K295" s="10" t="n">
        <v>118.8</v>
      </c>
      <c r="L295" s="9" t="n">
        <f aca="false">(K295-K294)/K294</f>
        <v>-0.0463193385245243</v>
      </c>
      <c r="M295" s="10" t="n">
        <v>116.56</v>
      </c>
      <c r="N295" s="9" t="n">
        <f aca="false">(M295-M294)/M294</f>
        <v>-0.0632484127621956</v>
      </c>
      <c r="O295" s="0" t="n">
        <v>2</v>
      </c>
      <c r="P295" s="9" t="n">
        <f aca="false">(O295-O294)/O294</f>
        <v>-0.0430622009569379</v>
      </c>
      <c r="Q295" s="10" t="n">
        <v>1.18</v>
      </c>
      <c r="R295" s="9" t="n">
        <f aca="false">(Q295-Q294)/Q294</f>
        <v>0.0260869565217392</v>
      </c>
      <c r="S295" s="10" t="n">
        <v>3.91</v>
      </c>
      <c r="T295" s="9" t="n">
        <f aca="false">(S295-S294)/S294</f>
        <v>-0.0200501253132832</v>
      </c>
      <c r="U295" s="13" t="n">
        <v>2.08</v>
      </c>
      <c r="V295" s="9" t="n">
        <f aca="false">(U295-U294)/U294</f>
        <v>-0.103448275862069</v>
      </c>
      <c r="W295" s="0" t="n">
        <v>1.4676</v>
      </c>
      <c r="X295" s="23" t="n">
        <f aca="false">(W295-W294)/W294</f>
        <v>-0.0223820943245404</v>
      </c>
      <c r="Y295" s="0" t="n">
        <v>1.6108</v>
      </c>
      <c r="Z295" s="24" t="n">
        <f aca="false">(Y295-Y294)/Y294</f>
        <v>-0.00763923114834892</v>
      </c>
    </row>
    <row r="296" customFormat="false" ht="13.8" hidden="false" customHeight="false" outlineLevel="0" collapsed="false">
      <c r="A296" s="8" t="n">
        <v>39678</v>
      </c>
      <c r="B296" s="0" t="n">
        <v>64.04</v>
      </c>
      <c r="C296" s="9" t="n">
        <f aca="false">(B296-B295)/B295</f>
        <v>-0.0321898141151579</v>
      </c>
      <c r="D296" s="0" t="n">
        <v>18.81</v>
      </c>
      <c r="E296" s="9" t="n">
        <f aca="false">(D296-D295)/D295</f>
        <v>-0.0393258426966292</v>
      </c>
      <c r="F296" s="0" t="n">
        <v>129.65</v>
      </c>
      <c r="G296" s="9" t="n">
        <f aca="false">(F296-F295)/F295</f>
        <v>-0.00399477606207253</v>
      </c>
      <c r="H296" s="0" t="n">
        <f aca="false">AVERAGE(F282:F295)</f>
        <v>131.393571428571</v>
      </c>
      <c r="I296" s="0" t="n">
        <f aca="false">AVERAGE(F289:F295)</f>
        <v>126.758571428571</v>
      </c>
      <c r="J296" s="0" t="n">
        <f aca="false">AVERAGE(F293:F295)</f>
        <v>128.566666666667</v>
      </c>
      <c r="K296" s="10" t="n">
        <v>114.4</v>
      </c>
      <c r="L296" s="9" t="n">
        <f aca="false">(K296-K295)/K295</f>
        <v>-0.037037037037037</v>
      </c>
      <c r="M296" s="10" t="n">
        <v>110.16</v>
      </c>
      <c r="N296" s="9" t="n">
        <f aca="false">(M296-M295)/M295</f>
        <v>-0.054907343857241</v>
      </c>
      <c r="O296" s="0" t="n">
        <v>1.95</v>
      </c>
      <c r="P296" s="9" t="n">
        <f aca="false">(O296-O295)/O295</f>
        <v>-0.0250000000000001</v>
      </c>
      <c r="Q296" s="10" t="n">
        <v>1.12</v>
      </c>
      <c r="R296" s="9" t="n">
        <f aca="false">(Q296-Q295)/Q295</f>
        <v>-0.0508474576271185</v>
      </c>
      <c r="S296" s="10" t="n">
        <v>3.83</v>
      </c>
      <c r="T296" s="9" t="n">
        <f aca="false">(S296-S295)/S295</f>
        <v>-0.020460358056266</v>
      </c>
      <c r="U296" s="13" t="n">
        <v>2.11</v>
      </c>
      <c r="V296" s="9" t="n">
        <f aca="false">(U296-U295)/U295</f>
        <v>0.014423076923077</v>
      </c>
      <c r="W296" s="0" t="n">
        <v>1.477</v>
      </c>
      <c r="X296" s="23" t="n">
        <f aca="false">(W296-W295)/W295</f>
        <v>0.00640501499046067</v>
      </c>
      <c r="Y296" s="0" t="n">
        <v>1.6231</v>
      </c>
      <c r="Z296" s="24" t="n">
        <f aca="false">(Y296-Y295)/Y295</f>
        <v>0.00763595728830393</v>
      </c>
    </row>
    <row r="297" customFormat="false" ht="13.8" hidden="false" customHeight="false" outlineLevel="0" collapsed="false">
      <c r="A297" s="8" t="n">
        <v>39685</v>
      </c>
      <c r="B297" s="0" t="n">
        <v>66.03</v>
      </c>
      <c r="C297" s="9" t="n">
        <f aca="false">(B297-B296)/B296</f>
        <v>0.0310743285446595</v>
      </c>
      <c r="D297" s="0" t="n">
        <v>20.65</v>
      </c>
      <c r="E297" s="9" t="n">
        <f aca="false">(D297-D296)/D296</f>
        <v>0.0978203083466241</v>
      </c>
      <c r="F297" s="0" t="n">
        <v>128.79</v>
      </c>
      <c r="G297" s="9" t="n">
        <f aca="false">(F297-F296)/F296</f>
        <v>-0.00663324334747407</v>
      </c>
      <c r="H297" s="0" t="n">
        <f aca="false">AVERAGE(F283:F296)</f>
        <v>130.464285714286</v>
      </c>
      <c r="I297" s="0" t="n">
        <f aca="false">AVERAGE(F290:F296)</f>
        <v>127.235714285714</v>
      </c>
      <c r="J297" s="0" t="n">
        <f aca="false">AVERAGE(F294:F296)</f>
        <v>129.73</v>
      </c>
      <c r="K297" s="10" t="n">
        <v>115.7</v>
      </c>
      <c r="L297" s="9" t="n">
        <f aca="false">(K297-K296)/K296</f>
        <v>0.0113636363636363</v>
      </c>
      <c r="M297" s="10" t="n">
        <v>111.66</v>
      </c>
      <c r="N297" s="9" t="n">
        <f aca="false">(M297-M296)/M296</f>
        <v>0.0136165577342048</v>
      </c>
      <c r="O297" s="0" t="n">
        <v>1.9</v>
      </c>
      <c r="P297" s="9" t="n">
        <f aca="false">(O297-O296)/O296</f>
        <v>-0.0256410256410254</v>
      </c>
      <c r="Q297" s="10" t="n">
        <v>1.16</v>
      </c>
      <c r="R297" s="9" t="n">
        <f aca="false">(Q297-Q296)/Q296</f>
        <v>0.0357142857142855</v>
      </c>
      <c r="S297" s="10" t="n">
        <v>3.79</v>
      </c>
      <c r="T297" s="9" t="n">
        <f aca="false">(S297-S296)/S296</f>
        <v>-0.010443864229765</v>
      </c>
      <c r="U297" s="13" t="n">
        <v>2.1</v>
      </c>
      <c r="V297" s="9" t="n">
        <f aca="false">(U297-U296)/U296</f>
        <v>-0.0047393364928911</v>
      </c>
      <c r="W297" s="0" t="n">
        <v>1.466</v>
      </c>
      <c r="X297" s="23" t="n">
        <f aca="false">(W297-W296)/W296</f>
        <v>-0.00744752877454307</v>
      </c>
      <c r="Y297" s="0" t="n">
        <v>1.6152</v>
      </c>
      <c r="Z297" s="24" t="n">
        <f aca="false">(Y297-Y296)/Y296</f>
        <v>-0.00486722937588553</v>
      </c>
    </row>
    <row r="298" customFormat="false" ht="13.8" hidden="false" customHeight="false" outlineLevel="0" collapsed="false">
      <c r="A298" s="8" t="n">
        <v>39693</v>
      </c>
      <c r="B298" s="0" t="n">
        <v>68.83</v>
      </c>
      <c r="C298" s="9" t="n">
        <f aca="false">(B298-B297)/B297</f>
        <v>0.0424049674390428</v>
      </c>
      <c r="D298" s="0" t="n">
        <v>23.06</v>
      </c>
      <c r="E298" s="9" t="n">
        <f aca="false">(D298-D297)/D297</f>
        <v>0.116707021791768</v>
      </c>
      <c r="F298" s="0" t="n">
        <v>124.42</v>
      </c>
      <c r="G298" s="9" t="n">
        <f aca="false">(F298-F297)/F297</f>
        <v>-0.0339312058389626</v>
      </c>
      <c r="H298" s="0" t="n">
        <f aca="false">AVERAGE(F284:F297)</f>
        <v>129.832142857143</v>
      </c>
      <c r="I298" s="0" t="n">
        <f aca="false">AVERAGE(F291:F297)</f>
        <v>127.942857142857</v>
      </c>
      <c r="J298" s="0" t="n">
        <f aca="false">AVERAGE(F295:F297)</f>
        <v>129.536666666667</v>
      </c>
      <c r="K298" s="10" t="n">
        <v>116.09</v>
      </c>
      <c r="L298" s="9" t="n">
        <f aca="false">(K298-K297)/K297</f>
        <v>0.00337078651685394</v>
      </c>
      <c r="M298" s="10" t="n">
        <v>112.4</v>
      </c>
      <c r="N298" s="9" t="n">
        <f aca="false">(M298-M297)/M297</f>
        <v>0.00662726132903465</v>
      </c>
      <c r="O298" s="0" t="n">
        <v>1.64</v>
      </c>
      <c r="P298" s="9" t="n">
        <f aca="false">(O298-O297)/O297</f>
        <v>-0.136842105263158</v>
      </c>
      <c r="Q298" s="10" t="n">
        <v>1.29</v>
      </c>
      <c r="R298" s="9" t="n">
        <f aca="false">(Q298-Q297)/Q297</f>
        <v>0.112068965517241</v>
      </c>
      <c r="S298" s="10" t="n">
        <v>3.69</v>
      </c>
      <c r="T298" s="9" t="n">
        <f aca="false">(S298-S297)/S297</f>
        <v>-0.0263852242744064</v>
      </c>
      <c r="U298" s="13" t="n">
        <v>2.02</v>
      </c>
      <c r="V298" s="9" t="n">
        <f aca="false">(U298-U297)/U297</f>
        <v>-0.0380952380952381</v>
      </c>
      <c r="W298" s="0" t="n">
        <v>1.4241</v>
      </c>
      <c r="X298" s="23" t="n">
        <f aca="false">(W298-W297)/W297</f>
        <v>-0.028581173260573</v>
      </c>
      <c r="Y298" s="0" t="n">
        <v>1.5902</v>
      </c>
      <c r="Z298" s="24" t="n">
        <f aca="false">(Y298-Y297)/Y297</f>
        <v>-0.0154779593858347</v>
      </c>
    </row>
    <row r="299" customFormat="false" ht="13.8" hidden="false" customHeight="false" outlineLevel="0" collapsed="false">
      <c r="A299" s="8" t="n">
        <v>39699</v>
      </c>
      <c r="B299" s="0" t="n">
        <v>71.01</v>
      </c>
      <c r="C299" s="9" t="n">
        <f aca="false">(B299-B298)/B298</f>
        <v>0.0316722359436293</v>
      </c>
      <c r="D299" s="0" t="n">
        <v>25.66</v>
      </c>
      <c r="E299" s="9" t="n">
        <f aca="false">(D299-D298)/D298</f>
        <v>0.112749349522984</v>
      </c>
      <c r="F299" s="0" t="n">
        <v>126.09</v>
      </c>
      <c r="G299" s="9" t="n">
        <f aca="false">(F299-F298)/F298</f>
        <v>0.0134222793763061</v>
      </c>
      <c r="H299" s="0" t="n">
        <f aca="false">AVERAGE(F285:F298)</f>
        <v>128.694285714286</v>
      </c>
      <c r="I299" s="0" t="n">
        <f aca="false">AVERAGE(F292:F298)</f>
        <v>127.72</v>
      </c>
      <c r="J299" s="0" t="n">
        <f aca="false">AVERAGE(F296:F298)</f>
        <v>127.62</v>
      </c>
      <c r="K299" s="10" t="n">
        <v>108.37</v>
      </c>
      <c r="L299" s="9" t="n">
        <f aca="false">(K299-K298)/K298</f>
        <v>-0.0665001292100956</v>
      </c>
      <c r="M299" s="10" t="n">
        <v>103.69</v>
      </c>
      <c r="N299" s="9" t="n">
        <f aca="false">(M299-M298)/M298</f>
        <v>-0.077491103202847</v>
      </c>
      <c r="O299" s="0" t="n">
        <v>1.53</v>
      </c>
      <c r="P299" s="9" t="n">
        <f aca="false">(O299-O298)/O298</f>
        <v>-0.0670731707317074</v>
      </c>
      <c r="Q299" s="10" t="n">
        <v>1.39</v>
      </c>
      <c r="R299" s="9" t="n">
        <f aca="false">(Q299-Q298)/Q298</f>
        <v>0.0775193798449613</v>
      </c>
      <c r="S299" s="10" t="n">
        <v>3.66</v>
      </c>
      <c r="T299" s="9" t="n">
        <f aca="false">(S299-S298)/S298</f>
        <v>-0.00813008130081296</v>
      </c>
      <c r="U299" s="13" t="n">
        <v>2.06</v>
      </c>
      <c r="V299" s="9" t="n">
        <f aca="false">(U299-U298)/U298</f>
        <v>0.0198019801980198</v>
      </c>
      <c r="W299" s="0" t="n">
        <v>1.4214</v>
      </c>
      <c r="X299" s="23" t="n">
        <f aca="false">(W299-W298)/W298</f>
        <v>-0.00189593427427844</v>
      </c>
      <c r="Y299" s="0" t="n">
        <v>1.6088</v>
      </c>
      <c r="Z299" s="24" t="n">
        <f aca="false">(Y299-Y298)/Y298</f>
        <v>0.0116966419318324</v>
      </c>
    </row>
    <row r="300" customFormat="false" ht="13.8" hidden="false" customHeight="false" outlineLevel="0" collapsed="false">
      <c r="A300" s="8" t="n">
        <v>39706</v>
      </c>
      <c r="B300" s="0" t="n">
        <v>82.55</v>
      </c>
      <c r="C300" s="9" t="n">
        <f aca="false">(B300-B299)/B299</f>
        <v>0.16251232220814</v>
      </c>
      <c r="D300" s="0" t="n">
        <v>32.07</v>
      </c>
      <c r="E300" s="9" t="n">
        <f aca="false">(D300-D299)/D299</f>
        <v>0.249805144193297</v>
      </c>
      <c r="F300" s="0" t="n">
        <v>124.12</v>
      </c>
      <c r="G300" s="9" t="n">
        <f aca="false">(F300-F299)/F299</f>
        <v>-0.0156237608057736</v>
      </c>
      <c r="H300" s="0" t="n">
        <f aca="false">AVERAGE(F286:F299)</f>
        <v>127.965714285714</v>
      </c>
      <c r="I300" s="0" t="n">
        <f aca="false">AVERAGE(F293:F299)</f>
        <v>127.807142857143</v>
      </c>
      <c r="J300" s="0" t="n">
        <f aca="false">AVERAGE(F297:F299)</f>
        <v>126.433333333333</v>
      </c>
      <c r="K300" s="10" t="n">
        <v>102.88</v>
      </c>
      <c r="L300" s="9" t="n">
        <f aca="false">(K300-K299)/K299</f>
        <v>-0.0506597766909662</v>
      </c>
      <c r="M300" s="10" t="n">
        <v>97.28</v>
      </c>
      <c r="N300" s="9" t="n">
        <f aca="false">(M300-M299)/M299</f>
        <v>-0.061818883209567</v>
      </c>
      <c r="O300" s="0" t="n">
        <v>1.14</v>
      </c>
      <c r="P300" s="9" t="n">
        <f aca="false">(O300-O299)/O299</f>
        <v>-0.254901960784314</v>
      </c>
      <c r="Q300" s="10" t="n">
        <v>1.55</v>
      </c>
      <c r="R300" s="9" t="n">
        <f aca="false">(Q300-Q299)/Q299</f>
        <v>0.115107913669065</v>
      </c>
      <c r="S300" s="10" t="n">
        <v>3.54</v>
      </c>
      <c r="T300" s="9" t="n">
        <f aca="false">(S300-S299)/S299</f>
        <v>-0.0327868852459017</v>
      </c>
      <c r="U300" s="13" t="n">
        <v>2.92</v>
      </c>
      <c r="V300" s="9" t="n">
        <f aca="false">(U300-U299)/U299</f>
        <v>0.41747572815534</v>
      </c>
      <c r="W300" s="0" t="n">
        <v>1.4469</v>
      </c>
      <c r="X300" s="23" t="n">
        <f aca="false">(W300-W299)/W299</f>
        <v>0.0179400590966653</v>
      </c>
      <c r="Y300" s="0" t="n">
        <v>1.5947</v>
      </c>
      <c r="Z300" s="24" t="n">
        <f aca="false">(Y300-Y299)/Y299</f>
        <v>-0.00876429636996519</v>
      </c>
    </row>
    <row r="301" customFormat="false" ht="13.8" hidden="false" customHeight="false" outlineLevel="0" collapsed="false">
      <c r="A301" s="8" t="n">
        <v>39713</v>
      </c>
      <c r="B301" s="0" t="n">
        <v>73.86</v>
      </c>
      <c r="C301" s="9" t="n">
        <f aca="false">(B301-B300)/B300</f>
        <v>-0.10526953361599</v>
      </c>
      <c r="D301" s="0" t="n">
        <v>34.74</v>
      </c>
      <c r="E301" s="9" t="n">
        <f aca="false">(D301-D300)/D300</f>
        <v>0.0832553788587465</v>
      </c>
      <c r="F301" s="0" t="n">
        <v>120.85</v>
      </c>
      <c r="G301" s="9" t="n">
        <f aca="false">(F301-F300)/F300</f>
        <v>-0.0263454721237513</v>
      </c>
      <c r="H301" s="0" t="n">
        <f aca="false">AVERAGE(F287:F300)</f>
        <v>127.106428571429</v>
      </c>
      <c r="I301" s="0" t="n">
        <f aca="false">AVERAGE(F294:F300)</f>
        <v>127.515714285714</v>
      </c>
      <c r="J301" s="0" t="n">
        <f aca="false">AVERAGE(F298:F300)</f>
        <v>124.876666666667</v>
      </c>
      <c r="K301" s="10" t="n">
        <v>97.19</v>
      </c>
      <c r="L301" s="9" t="n">
        <f aca="false">(K301-K300)/K300</f>
        <v>-0.0553071539657854</v>
      </c>
      <c r="M301" s="10" t="n">
        <v>89.35</v>
      </c>
      <c r="N301" s="9" t="n">
        <f aca="false">(M301-M300)/M300</f>
        <v>-0.0815172697368422</v>
      </c>
      <c r="O301" s="0" t="n">
        <v>1.22</v>
      </c>
      <c r="P301" s="9" t="n">
        <f aca="false">(O301-O300)/O300</f>
        <v>0.0701754385964913</v>
      </c>
      <c r="Q301" s="10" t="n">
        <v>1.8</v>
      </c>
      <c r="R301" s="9" t="n">
        <f aca="false">(Q301-Q300)/Q300</f>
        <v>0.161290322580645</v>
      </c>
      <c r="S301" s="10" t="n">
        <v>3.84</v>
      </c>
      <c r="T301" s="9" t="n">
        <f aca="false">(S301-S300)/S300</f>
        <v>0.0847457627118644</v>
      </c>
      <c r="U301" s="13" t="n">
        <v>3</v>
      </c>
      <c r="V301" s="9" t="n">
        <f aca="false">(U301-U300)/U300</f>
        <v>0.0273972602739726</v>
      </c>
      <c r="W301" s="0" t="n">
        <v>1.4618</v>
      </c>
      <c r="X301" s="23" t="n">
        <f aca="false">(W301-W300)/W300</f>
        <v>0.0102978782224065</v>
      </c>
      <c r="Y301" s="0" t="n">
        <v>1.5912</v>
      </c>
      <c r="Z301" s="24" t="n">
        <f aca="false">(Y301-Y300)/Y300</f>
        <v>-0.00219477017620887</v>
      </c>
    </row>
    <row r="302" customFormat="false" ht="13.8" hidden="false" customHeight="false" outlineLevel="0" collapsed="false">
      <c r="A302" s="8" t="n">
        <v>39720</v>
      </c>
      <c r="B302" s="0" t="n">
        <v>67.53</v>
      </c>
      <c r="C302" s="9" t="n">
        <f aca="false">(B302-B301)/B301</f>
        <v>-0.0857026807473599</v>
      </c>
      <c r="D302" s="0" t="n">
        <v>45.14</v>
      </c>
      <c r="E302" s="9" t="n">
        <f aca="false">(D302-D301)/D301</f>
        <v>0.29936672423719</v>
      </c>
      <c r="F302" s="0" t="n">
        <v>110.34</v>
      </c>
      <c r="G302" s="9" t="n">
        <f aca="false">(F302-F301)/F301</f>
        <v>-0.0869673148531236</v>
      </c>
      <c r="H302" s="0" t="n">
        <f aca="false">AVERAGE(F288:F301)</f>
        <v>126.34</v>
      </c>
      <c r="I302" s="0" t="n">
        <f aca="false">AVERAGE(F295:F301)</f>
        <v>126.298571428571</v>
      </c>
      <c r="J302" s="0" t="n">
        <f aca="false">AVERAGE(F299:F301)</f>
        <v>123.686666666667</v>
      </c>
      <c r="K302" s="10" t="n">
        <v>111.12</v>
      </c>
      <c r="L302" s="9" t="n">
        <f aca="false">(K302-K301)/K301</f>
        <v>0.143327502829509</v>
      </c>
      <c r="M302" s="10" t="n">
        <v>100.91</v>
      </c>
      <c r="N302" s="9" t="n">
        <f aca="false">(M302-M301)/M301</f>
        <v>0.129378847229994</v>
      </c>
      <c r="O302" s="0" t="n">
        <v>0.95</v>
      </c>
      <c r="P302" s="9" t="n">
        <f aca="false">(O302-O301)/O301</f>
        <v>-0.221311475409836</v>
      </c>
      <c r="Q302" s="10" t="n">
        <v>1.82</v>
      </c>
      <c r="R302" s="9" t="n">
        <f aca="false">(Q302-Q301)/Q301</f>
        <v>0.0111111111111111</v>
      </c>
      <c r="S302" s="10" t="n">
        <v>3.7</v>
      </c>
      <c r="T302" s="9" t="n">
        <f aca="false">(S302-S301)/S301</f>
        <v>-0.0364583333333332</v>
      </c>
      <c r="U302" s="13" t="n">
        <v>2.94</v>
      </c>
      <c r="V302" s="9" t="n">
        <f aca="false">(U302-U301)/U301</f>
        <v>-0.0199999999999999</v>
      </c>
      <c r="W302" s="0" t="n">
        <v>1.3834</v>
      </c>
      <c r="X302" s="23" t="n">
        <f aca="false">(W302-W301)/W301</f>
        <v>-0.0536325078670133</v>
      </c>
      <c r="Y302" s="0" t="n">
        <v>1.5581</v>
      </c>
      <c r="Z302" s="24" t="n">
        <f aca="false">(Y302-Y301)/Y301</f>
        <v>-0.0208019105077927</v>
      </c>
    </row>
    <row r="303" customFormat="false" ht="13.8" hidden="false" customHeight="false" outlineLevel="0" collapsed="false">
      <c r="A303" s="8" t="n">
        <v>39727</v>
      </c>
      <c r="B303" s="0" t="n">
        <v>52.88</v>
      </c>
      <c r="C303" s="9" t="n">
        <f aca="false">(B303-B302)/B302</f>
        <v>-0.216940618984155</v>
      </c>
      <c r="D303" s="0" t="n">
        <v>69.95</v>
      </c>
      <c r="E303" s="9" t="n">
        <f aca="false">(D303-D302)/D302</f>
        <v>0.549623393885689</v>
      </c>
      <c r="F303" s="0" t="n">
        <v>88.5</v>
      </c>
      <c r="G303" s="9" t="n">
        <f aca="false">(F303-F302)/F302</f>
        <v>-0.197933659597607</v>
      </c>
      <c r="H303" s="0" t="n">
        <f aca="false">AVERAGE(F289:F302)</f>
        <v>125.112142857143</v>
      </c>
      <c r="I303" s="0" t="n">
        <f aca="false">AVERAGE(F296:F302)</f>
        <v>123.465714285714</v>
      </c>
      <c r="J303" s="0" t="n">
        <f aca="false">AVERAGE(F300:F302)</f>
        <v>118.436666666667</v>
      </c>
      <c r="K303" s="10" t="n">
        <v>96.59</v>
      </c>
      <c r="L303" s="9" t="n">
        <f aca="false">(K303-K302)/K302</f>
        <v>-0.130759539236861</v>
      </c>
      <c r="M303" s="10" t="n">
        <v>91.9</v>
      </c>
      <c r="N303" s="9" t="n">
        <f aca="false">(M303-M302)/M302</f>
        <v>-0.0892874838965414</v>
      </c>
      <c r="O303" s="0" t="n">
        <v>0.49</v>
      </c>
      <c r="P303" s="9" t="n">
        <f aca="false">(O303-O302)/O302</f>
        <v>-0.48421052631579</v>
      </c>
      <c r="Q303" s="10" t="n">
        <v>2.14</v>
      </c>
      <c r="R303" s="9" t="n">
        <f aca="false">(Q303-Q302)/Q302</f>
        <v>0.175824175824176</v>
      </c>
      <c r="S303" s="10" t="n">
        <v>3.69</v>
      </c>
      <c r="T303" s="9" t="n">
        <f aca="false">(S303-S302)/S302</f>
        <v>-0.00270270270270276</v>
      </c>
      <c r="U303" s="13" t="n">
        <v>3.12</v>
      </c>
      <c r="V303" s="9" t="n">
        <f aca="false">(U303-U302)/U302</f>
        <v>0.0612244897959183</v>
      </c>
      <c r="W303" s="0" t="n">
        <v>1.3412</v>
      </c>
      <c r="X303" s="23" t="n">
        <f aca="false">(W303-W302)/W302</f>
        <v>-0.0305045539973977</v>
      </c>
      <c r="Y303" s="0" t="n">
        <v>1.5216</v>
      </c>
      <c r="Z303" s="24" t="n">
        <f aca="false">(Y303-Y302)/Y302</f>
        <v>-0.0234259675245491</v>
      </c>
    </row>
    <row r="304" customFormat="false" ht="13.8" hidden="false" customHeight="false" outlineLevel="0" collapsed="false">
      <c r="A304" s="8" t="n">
        <v>39734</v>
      </c>
      <c r="B304" s="0" t="n">
        <v>57.24</v>
      </c>
      <c r="C304" s="9" t="n">
        <f aca="false">(B304-B303)/B303</f>
        <v>0.0824508320726172</v>
      </c>
      <c r="D304" s="0" t="n">
        <v>70.33</v>
      </c>
      <c r="E304" s="9" t="n">
        <f aca="false">(D304-D303)/D303</f>
        <v>0.00543245175125083</v>
      </c>
      <c r="F304" s="0" t="n">
        <v>93.21</v>
      </c>
      <c r="G304" s="9" t="n">
        <f aca="false">(F304-F303)/F303</f>
        <v>0.0532203389830508</v>
      </c>
      <c r="H304" s="0" t="n">
        <f aca="false">AVERAGE(F290:F303)</f>
        <v>122.411428571429</v>
      </c>
      <c r="I304" s="0" t="n">
        <f aca="false">AVERAGE(F297:F303)</f>
        <v>117.587142857143</v>
      </c>
      <c r="J304" s="0" t="n">
        <f aca="false">AVERAGE(F301:F303)</f>
        <v>106.563333333333</v>
      </c>
      <c r="K304" s="10" t="n">
        <v>86.24</v>
      </c>
      <c r="L304" s="9" t="n">
        <f aca="false">(K304-K303)/K303</f>
        <v>-0.107153949684232</v>
      </c>
      <c r="M304" s="10" t="n">
        <v>80.98</v>
      </c>
      <c r="N304" s="9" t="n">
        <f aca="false">(M304-M303)/M303</f>
        <v>-0.118824809575626</v>
      </c>
      <c r="O304" s="0" t="n">
        <v>0.1</v>
      </c>
      <c r="P304" s="9" t="n">
        <f aca="false">(O304-O303)/O303</f>
        <v>-0.795918367346939</v>
      </c>
      <c r="Q304" s="10" t="n">
        <v>2.8</v>
      </c>
      <c r="R304" s="9" t="n">
        <f aca="false">(Q304-Q303)/Q303</f>
        <v>0.308411214953271</v>
      </c>
      <c r="S304" s="10" t="n">
        <v>4.02</v>
      </c>
      <c r="T304" s="9" t="n">
        <f aca="false">(S304-S303)/S303</f>
        <v>0.089430894308943</v>
      </c>
      <c r="U304" s="13" t="n">
        <v>3.57</v>
      </c>
      <c r="V304" s="9" t="n">
        <f aca="false">(U304-U303)/U303</f>
        <v>0.144230769230769</v>
      </c>
      <c r="W304" s="0" t="n">
        <v>1.3437</v>
      </c>
      <c r="X304" s="23" t="n">
        <f aca="false">(W304-W303)/W303</f>
        <v>0.00186400238592301</v>
      </c>
      <c r="Y304" s="0" t="n">
        <v>1.5234</v>
      </c>
      <c r="Z304" s="24" t="n">
        <f aca="false">(Y304-Y303)/Y303</f>
        <v>0.00118296529968456</v>
      </c>
    </row>
    <row r="305" customFormat="false" ht="13.8" hidden="false" customHeight="false" outlineLevel="0" collapsed="false">
      <c r="A305" s="8" t="n">
        <v>39741</v>
      </c>
      <c r="B305" s="0" t="n">
        <v>51.4</v>
      </c>
      <c r="C305" s="9" t="n">
        <f aca="false">(B305-B304)/B304</f>
        <v>-0.102026554856744</v>
      </c>
      <c r="D305" s="0" t="n">
        <v>79.13</v>
      </c>
      <c r="E305" s="9" t="n">
        <f aca="false">(D305-D304)/D304</f>
        <v>0.125124413479312</v>
      </c>
      <c r="F305" s="0" t="n">
        <v>87.04</v>
      </c>
      <c r="G305" s="9" t="n">
        <f aca="false">(F305-F304)/F304</f>
        <v>-0.066194614311769</v>
      </c>
      <c r="H305" s="0" t="n">
        <f aca="false">AVERAGE(F291:F304)</f>
        <v>120.223571428571</v>
      </c>
      <c r="I305" s="0" t="n">
        <f aca="false">AVERAGE(F298:F304)</f>
        <v>112.504285714286</v>
      </c>
      <c r="J305" s="0" t="n">
        <f aca="false">AVERAGE(F302:F304)</f>
        <v>97.35</v>
      </c>
      <c r="K305" s="10" t="n">
        <v>75.19</v>
      </c>
      <c r="L305" s="9" t="n">
        <f aca="false">(K305-K304)/K304</f>
        <v>-0.128130797773655</v>
      </c>
      <c r="M305" s="10" t="n">
        <v>69.28</v>
      </c>
      <c r="N305" s="9" t="n">
        <f aca="false">(M305-M304)/M304</f>
        <v>-0.14448011854779</v>
      </c>
      <c r="O305" s="0" t="n">
        <v>-0.3</v>
      </c>
      <c r="P305" s="9" t="n">
        <f aca="false">(O305-O304)/O304</f>
        <v>-4</v>
      </c>
      <c r="Q305" s="10" t="n">
        <v>2.94</v>
      </c>
      <c r="R305" s="9" t="n">
        <f aca="false">(Q305-Q304)/Q304</f>
        <v>0.05</v>
      </c>
      <c r="S305" s="10" t="n">
        <v>3.74</v>
      </c>
      <c r="T305" s="9" t="n">
        <f aca="false">(S305-S304)/S304</f>
        <v>-0.0696517412935322</v>
      </c>
      <c r="U305" s="13" t="n">
        <v>2.7</v>
      </c>
      <c r="V305" s="9" t="n">
        <f aca="false">(U305-U304)/U304</f>
        <v>-0.243697478991596</v>
      </c>
      <c r="W305" s="0" t="n">
        <v>1.263</v>
      </c>
      <c r="X305" s="23" t="n">
        <f aca="false">(W305-W304)/W304</f>
        <v>-0.0600580486715785</v>
      </c>
      <c r="Y305" s="0" t="n">
        <v>1.4689</v>
      </c>
      <c r="Z305" s="24" t="n">
        <f aca="false">(Y305-Y304)/Y304</f>
        <v>-0.0357752395956413</v>
      </c>
    </row>
    <row r="306" customFormat="false" ht="13.8" hidden="false" customHeight="false" outlineLevel="0" collapsed="false">
      <c r="A306" s="8" t="n">
        <v>39748</v>
      </c>
      <c r="B306" s="0" t="n">
        <v>58.53</v>
      </c>
      <c r="C306" s="9" t="n">
        <f aca="false">(B306-B305)/B305</f>
        <v>0.138715953307393</v>
      </c>
      <c r="D306" s="0" t="n">
        <v>59.89</v>
      </c>
      <c r="E306" s="9" t="n">
        <f aca="false">(D306-D305)/D305</f>
        <v>-0.243144193099962</v>
      </c>
      <c r="F306" s="0" t="n">
        <v>96.83</v>
      </c>
      <c r="G306" s="9" t="n">
        <f aca="false">(F306-F305)/F305</f>
        <v>0.112477022058823</v>
      </c>
      <c r="H306" s="0" t="n">
        <f aca="false">AVERAGE(F292:F305)</f>
        <v>117.442142857143</v>
      </c>
      <c r="I306" s="0" t="n">
        <f aca="false">AVERAGE(F299:F305)</f>
        <v>107.164285714286</v>
      </c>
      <c r="J306" s="0" t="n">
        <f aca="false">AVERAGE(F303:F305)</f>
        <v>89.5833333333333</v>
      </c>
      <c r="K306" s="10" t="n">
        <v>68.56</v>
      </c>
      <c r="L306" s="9" t="n">
        <f aca="false">(K306-K305)/K305</f>
        <v>-0.0881766192312807</v>
      </c>
      <c r="M306" s="10" t="n">
        <v>64.4</v>
      </c>
      <c r="N306" s="9" t="n">
        <f aca="false">(M306-M305)/M305</f>
        <v>-0.0704387990762124</v>
      </c>
      <c r="O306" s="0" t="n">
        <v>-0.96</v>
      </c>
      <c r="P306" s="9" t="n">
        <f aca="false">(O306-O305)/O305</f>
        <v>2.2</v>
      </c>
      <c r="Q306" s="10" t="n">
        <v>3.73</v>
      </c>
      <c r="R306" s="9" t="n">
        <f aca="false">(Q306-Q305)/Q305</f>
        <v>0.268707482993197</v>
      </c>
      <c r="S306" s="10" t="n">
        <v>3.92</v>
      </c>
      <c r="T306" s="9" t="n">
        <f aca="false">(S306-S305)/S305</f>
        <v>0.0481283422459892</v>
      </c>
      <c r="U306" s="13" t="n">
        <v>3.31</v>
      </c>
      <c r="V306" s="9" t="n">
        <f aca="false">(U306-U305)/U305</f>
        <v>0.225925925925926</v>
      </c>
      <c r="W306" s="0" t="n">
        <v>1.2759</v>
      </c>
      <c r="X306" s="23" t="n">
        <f aca="false">(W306-W305)/W305</f>
        <v>0.0102137767220904</v>
      </c>
      <c r="Y306" s="0" t="n">
        <v>1.4737</v>
      </c>
      <c r="Z306" s="24" t="n">
        <f aca="false">(Y306-Y305)/Y305</f>
        <v>0.00326775137858256</v>
      </c>
    </row>
    <row r="307" customFormat="false" ht="13.8" hidden="false" customHeight="false" outlineLevel="0" collapsed="false">
      <c r="A307" s="8" t="n">
        <v>39755</v>
      </c>
      <c r="B307" s="0" t="n">
        <v>53.72</v>
      </c>
      <c r="C307" s="9" t="n">
        <f aca="false">(B307-B306)/B306</f>
        <v>-0.082180078592175</v>
      </c>
      <c r="D307" s="0" t="n">
        <v>56.1</v>
      </c>
      <c r="E307" s="9" t="n">
        <f aca="false">(D307-D306)/D306</f>
        <v>-0.0632826849223576</v>
      </c>
      <c r="F307" s="0" t="n">
        <v>93.86</v>
      </c>
      <c r="G307" s="9" t="n">
        <f aca="false">(F307-F306)/F306</f>
        <v>-0.030672312299907</v>
      </c>
      <c r="H307" s="0" t="n">
        <f aca="false">AVERAGE(F293:F306)</f>
        <v>115.395714285714</v>
      </c>
      <c r="I307" s="0" t="n">
        <f aca="false">AVERAGE(F300:F306)</f>
        <v>102.984285714286</v>
      </c>
      <c r="J307" s="0" t="n">
        <f aca="false">AVERAGE(F304:F306)</f>
        <v>92.36</v>
      </c>
      <c r="K307" s="10" t="n">
        <v>65.21</v>
      </c>
      <c r="L307" s="9" t="n">
        <f aca="false">(K307-K306)/K306</f>
        <v>-0.0488623103850643</v>
      </c>
      <c r="M307" s="10" t="n">
        <v>60.61</v>
      </c>
      <c r="N307" s="9" t="n">
        <f aca="false">(M307-M306)/M306</f>
        <v>-0.0588509316770187</v>
      </c>
      <c r="O307" s="0" t="n">
        <v>-0.95</v>
      </c>
      <c r="P307" s="9" t="n">
        <f aca="false">(O307-O306)/O306</f>
        <v>-0.0104166666666669</v>
      </c>
      <c r="Q307" s="10" t="n">
        <v>3.51</v>
      </c>
      <c r="R307" s="9" t="n">
        <f aca="false">(Q307-Q306)/Q306</f>
        <v>-0.0589812332439679</v>
      </c>
      <c r="S307" s="10" t="n">
        <v>3.82</v>
      </c>
      <c r="T307" s="9" t="n">
        <f aca="false">(S307-S306)/S306</f>
        <v>-0.0255102040816326</v>
      </c>
      <c r="U307" s="13" t="n">
        <v>3.43</v>
      </c>
      <c r="V307" s="9" t="n">
        <f aca="false">(U307-U306)/U306</f>
        <v>0.0362537764350452</v>
      </c>
      <c r="W307" s="0" t="n">
        <v>1.2743</v>
      </c>
      <c r="X307" s="23" t="n">
        <f aca="false">(W307-W306)/W306</f>
        <v>-0.00125401677247437</v>
      </c>
      <c r="Y307" s="0" t="n">
        <v>1.5014</v>
      </c>
      <c r="Z307" s="24" t="n">
        <f aca="false">(Y307-Y306)/Y306</f>
        <v>0.0187962271832802</v>
      </c>
    </row>
    <row r="308" customFormat="false" ht="13.8" hidden="false" customHeight="false" outlineLevel="0" collapsed="false">
      <c r="A308" s="8" t="n">
        <v>39762</v>
      </c>
      <c r="B308" s="0" t="n">
        <v>48.4</v>
      </c>
      <c r="C308" s="9" t="n">
        <f aca="false">(B308-B307)/B307</f>
        <v>-0.0990320178704393</v>
      </c>
      <c r="D308" s="0" t="n">
        <v>66.31</v>
      </c>
      <c r="E308" s="9" t="n">
        <f aca="false">(D308-D307)/D307</f>
        <v>0.181996434937611</v>
      </c>
      <c r="F308" s="0" t="n">
        <v>86.62</v>
      </c>
      <c r="G308" s="9" t="n">
        <f aca="false">(F308-F307)/F307</f>
        <v>-0.0771361602386533</v>
      </c>
      <c r="H308" s="0" t="n">
        <f aca="false">AVERAGE(F294:F307)</f>
        <v>113.088571428571</v>
      </c>
      <c r="I308" s="0" t="n">
        <f aca="false">AVERAGE(F301:F307)</f>
        <v>98.6614285714286</v>
      </c>
      <c r="J308" s="0" t="n">
        <f aca="false">AVERAGE(F305:F307)</f>
        <v>92.5766666666667</v>
      </c>
      <c r="K308" s="10" t="n">
        <v>64.31</v>
      </c>
      <c r="L308" s="9" t="n">
        <f aca="false">(K308-K307)/K307</f>
        <v>-0.0138015641772733</v>
      </c>
      <c r="M308" s="10" t="n">
        <v>59.43</v>
      </c>
      <c r="N308" s="9" t="n">
        <f aca="false">(M308-M307)/M307</f>
        <v>-0.0194687345322554</v>
      </c>
      <c r="O308" s="0" t="n">
        <v>-1.07</v>
      </c>
      <c r="P308" s="9" t="n">
        <f aca="false">(O308-O307)/O307</f>
        <v>0.126315789473684</v>
      </c>
      <c r="Q308" s="10" t="n">
        <v>3.48</v>
      </c>
      <c r="R308" s="9" t="n">
        <f aca="false">(Q308-Q307)/Q307</f>
        <v>-0.00854700854700849</v>
      </c>
      <c r="S308" s="10" t="n">
        <v>3.78</v>
      </c>
      <c r="T308" s="9" t="n">
        <f aca="false">(S308-S307)/S307</f>
        <v>-0.0104712041884817</v>
      </c>
      <c r="U308" s="13" t="n">
        <v>3.57</v>
      </c>
      <c r="V308" s="9" t="n">
        <f aca="false">(U308-U307)/U307</f>
        <v>0.0408163265306124</v>
      </c>
      <c r="W308" s="0" t="n">
        <v>1.2797</v>
      </c>
      <c r="X308" s="23" t="n">
        <f aca="false">(W308-W307)/W307</f>
        <v>0.00423762065447702</v>
      </c>
      <c r="Y308" s="0" t="n">
        <v>1.5172</v>
      </c>
      <c r="Z308" s="24" t="n">
        <f aca="false">(Y308-Y307)/Y307</f>
        <v>0.0105235113893699</v>
      </c>
    </row>
    <row r="309" customFormat="false" ht="13.8" hidden="false" customHeight="false" outlineLevel="0" collapsed="false">
      <c r="A309" s="8" t="n">
        <v>39769</v>
      </c>
      <c r="B309" s="0" t="n">
        <v>36.91</v>
      </c>
      <c r="C309" s="9" t="n">
        <f aca="false">(B309-B308)/B308</f>
        <v>-0.237396694214876</v>
      </c>
      <c r="D309" s="0" t="n">
        <v>72.67</v>
      </c>
      <c r="E309" s="9" t="n">
        <f aca="false">(D309-D308)/D308</f>
        <v>0.0959131352737144</v>
      </c>
      <c r="F309" s="0" t="n">
        <v>79.52</v>
      </c>
      <c r="G309" s="9" t="n">
        <f aca="false">(F309-F308)/F308</f>
        <v>-0.0819672131147542</v>
      </c>
      <c r="H309" s="0" t="n">
        <f aca="false">AVERAGE(F295:F308)</f>
        <v>110.035</v>
      </c>
      <c r="I309" s="0" t="n">
        <f aca="false">AVERAGE(F302:F308)</f>
        <v>93.7714285714286</v>
      </c>
      <c r="J309" s="0" t="n">
        <f aca="false">AVERAGE(F306:F308)</f>
        <v>92.4366666666667</v>
      </c>
      <c r="K309" s="10" t="n">
        <v>58.6</v>
      </c>
      <c r="L309" s="9" t="n">
        <f aca="false">(K309-K308)/K308</f>
        <v>-0.0887886798320635</v>
      </c>
      <c r="M309" s="10" t="n">
        <v>53.27</v>
      </c>
      <c r="N309" s="9" t="n">
        <f aca="false">(M309-M308)/M308</f>
        <v>-0.103651354534747</v>
      </c>
      <c r="O309" s="0" t="n">
        <v>-1.53</v>
      </c>
      <c r="P309" s="9" t="n">
        <f aca="false">(O309-O308)/O308</f>
        <v>0.429906542056075</v>
      </c>
      <c r="Q309" s="10" t="n">
        <v>3.65</v>
      </c>
      <c r="R309" s="9" t="n">
        <f aca="false">(Q309-Q308)/Q308</f>
        <v>0.0488505747126437</v>
      </c>
      <c r="S309" s="10" t="n">
        <v>3.38</v>
      </c>
      <c r="T309" s="9" t="n">
        <f aca="false">(S309-S308)/S308</f>
        <v>-0.105820105820106</v>
      </c>
      <c r="U309" s="13" t="n">
        <v>3.31</v>
      </c>
      <c r="V309" s="9" t="n">
        <f aca="false">(U309-U308)/U308</f>
        <v>-0.0728291316526611</v>
      </c>
      <c r="W309" s="0" t="n">
        <v>1.2573</v>
      </c>
      <c r="X309" s="23" t="n">
        <f aca="false">(W309-W308)/W308</f>
        <v>-0.0175041025240291</v>
      </c>
      <c r="Y309" s="0" t="n">
        <v>1.5363</v>
      </c>
      <c r="Z309" s="24" t="n">
        <f aca="false">(Y309-Y308)/Y308</f>
        <v>0.0125889796994463</v>
      </c>
    </row>
    <row r="310" customFormat="false" ht="13.8" hidden="false" customHeight="false" outlineLevel="0" collapsed="false">
      <c r="A310" s="8" t="n">
        <v>39776</v>
      </c>
      <c r="B310" s="0" t="n">
        <v>47.87</v>
      </c>
      <c r="C310" s="9" t="n">
        <f aca="false">(B310-B309)/B309</f>
        <v>0.296938499051747</v>
      </c>
      <c r="D310" s="0" t="n">
        <v>55.28</v>
      </c>
      <c r="E310" s="9" t="n">
        <f aca="false">(D310-D309)/D309</f>
        <v>-0.239300949497729</v>
      </c>
      <c r="F310" s="0" t="n">
        <v>90.09</v>
      </c>
      <c r="G310" s="9" t="n">
        <f aca="false">(F310-F309)/F309</f>
        <v>0.132922535211268</v>
      </c>
      <c r="H310" s="0" t="n">
        <f aca="false">AVERAGE(F296:F309)</f>
        <v>106.417142857143</v>
      </c>
      <c r="I310" s="0" t="n">
        <f aca="false">AVERAGE(F303:F309)</f>
        <v>89.3685714285714</v>
      </c>
      <c r="J310" s="0" t="n">
        <f aca="false">AVERAGE(F307:F309)</f>
        <v>86.6666666666667</v>
      </c>
      <c r="K310" s="10" t="n">
        <v>52.26</v>
      </c>
      <c r="L310" s="9" t="n">
        <f aca="false">(K310-K309)/K309</f>
        <v>-0.108191126279864</v>
      </c>
      <c r="M310" s="10" t="n">
        <v>47.79</v>
      </c>
      <c r="N310" s="9" t="n">
        <f aca="false">(M310-M309)/M309</f>
        <v>-0.10287216069082</v>
      </c>
      <c r="O310" s="0" t="n">
        <v>-2.12</v>
      </c>
      <c r="P310" s="9" t="n">
        <f aca="false">(O310-O309)/O309</f>
        <v>0.38562091503268</v>
      </c>
      <c r="Q310" s="10" t="n">
        <v>4.18</v>
      </c>
      <c r="R310" s="9" t="n">
        <f aca="false">(Q310-Q309)/Q309</f>
        <v>0.145205479452055</v>
      </c>
      <c r="S310" s="10" t="n">
        <v>3.1</v>
      </c>
      <c r="T310" s="9" t="n">
        <f aca="false">(S310-S309)/S309</f>
        <v>-0.0828402366863905</v>
      </c>
      <c r="U310" s="13" t="n">
        <v>3.03</v>
      </c>
      <c r="V310" s="9" t="n">
        <f aca="false">(U310-U309)/U309</f>
        <v>-0.0845921450151057</v>
      </c>
      <c r="W310" s="0" t="n">
        <v>1.2705</v>
      </c>
      <c r="X310" s="23" t="n">
        <f aca="false">(W310-W309)/W309</f>
        <v>0.0104986876640419</v>
      </c>
      <c r="Y310" s="0" t="n">
        <v>1.5411</v>
      </c>
      <c r="Z310" s="24" t="n">
        <f aca="false">(Y310-Y309)/Y309</f>
        <v>0.00312438976762346</v>
      </c>
    </row>
    <row r="311" customFormat="false" ht="13.8" hidden="false" customHeight="false" outlineLevel="0" collapsed="false">
      <c r="A311" s="8" t="n">
        <v>39783</v>
      </c>
      <c r="B311" s="0" t="n">
        <v>47.32</v>
      </c>
      <c r="C311" s="9" t="n">
        <f aca="false">(B311-B310)/B310</f>
        <v>-0.0114894505953624</v>
      </c>
      <c r="D311" s="0" t="n">
        <v>59.93</v>
      </c>
      <c r="E311" s="9" t="n">
        <f aca="false">(D311-D310)/D310</f>
        <v>0.0841172214182344</v>
      </c>
      <c r="F311" s="0" t="n">
        <v>87.93</v>
      </c>
      <c r="G311" s="9" t="n">
        <f aca="false">(F311-F310)/F310</f>
        <v>-0.0239760239760239</v>
      </c>
      <c r="H311" s="0" t="n">
        <f aca="false">AVERAGE(F297:F310)</f>
        <v>103.591428571429</v>
      </c>
      <c r="I311" s="0" t="n">
        <f aca="false">AVERAGE(F304:F310)</f>
        <v>89.5957142857143</v>
      </c>
      <c r="J311" s="0" t="n">
        <f aca="false">AVERAGE(F308:F310)</f>
        <v>85.41</v>
      </c>
      <c r="K311" s="10" t="n">
        <v>53.27</v>
      </c>
      <c r="L311" s="9" t="n">
        <f aca="false">(K311-K310)/K310</f>
        <v>0.0193264446995791</v>
      </c>
      <c r="M311" s="10" t="n">
        <v>48.53</v>
      </c>
      <c r="N311" s="9" t="n">
        <f aca="false">(M311-M310)/M310</f>
        <v>0.015484410964637</v>
      </c>
      <c r="O311" s="0" t="n">
        <v>-0.0900000000000001</v>
      </c>
      <c r="P311" s="9" t="n">
        <f aca="false">(O311-O310)/O310</f>
        <v>-0.957547169811321</v>
      </c>
      <c r="Q311" s="10" t="n">
        <v>1.72</v>
      </c>
      <c r="R311" s="9" t="n">
        <f aca="false">(Q311-Q310)/Q310</f>
        <v>-0.588516746411483</v>
      </c>
      <c r="S311" s="10" t="n">
        <v>2.66</v>
      </c>
      <c r="T311" s="9" t="n">
        <f aca="false">(S311-S310)/S310</f>
        <v>-0.141935483870968</v>
      </c>
      <c r="U311" s="13" t="n">
        <v>2.62</v>
      </c>
      <c r="V311" s="9" t="n">
        <f aca="false">(U311-U310)/U310</f>
        <v>-0.135313531353135</v>
      </c>
      <c r="W311" s="0" t="n">
        <v>1.268</v>
      </c>
      <c r="X311" s="23" t="n">
        <f aca="false">(W311-W310)/W310</f>
        <v>-0.00196772924045647</v>
      </c>
      <c r="Y311" s="0" t="n">
        <v>1.5508</v>
      </c>
      <c r="Z311" s="24" t="n">
        <f aca="false">(Y311-Y310)/Y310</f>
        <v>0.00629420543767456</v>
      </c>
    </row>
    <row r="312" customFormat="false" ht="13.8" hidden="false" customHeight="false" outlineLevel="0" collapsed="false">
      <c r="A312" s="8" t="n">
        <v>39790</v>
      </c>
      <c r="B312" s="0" t="n">
        <v>43.19</v>
      </c>
      <c r="C312" s="9" t="n">
        <f aca="false">(B312-B311)/B311</f>
        <v>-0.0872781065088758</v>
      </c>
      <c r="D312" s="0" t="n">
        <v>54.28</v>
      </c>
      <c r="E312" s="9" t="n">
        <f aca="false">(D312-D311)/D311</f>
        <v>-0.0942766560987819</v>
      </c>
      <c r="F312" s="0" t="n">
        <v>88.99</v>
      </c>
      <c r="G312" s="9" t="n">
        <f aca="false">(F312-F311)/F311</f>
        <v>0.0120550437848287</v>
      </c>
      <c r="H312" s="0" t="n">
        <f aca="false">AVERAGE(F298:F311)</f>
        <v>100.672857142857</v>
      </c>
      <c r="I312" s="0" t="n">
        <f aca="false">AVERAGE(F305:F311)</f>
        <v>88.8414285714286</v>
      </c>
      <c r="J312" s="0" t="n">
        <f aca="false">AVERAGE(F309:F311)</f>
        <v>85.8466666666667</v>
      </c>
      <c r="K312" s="10" t="n">
        <v>45.6</v>
      </c>
      <c r="L312" s="9" t="n">
        <f aca="false">(K312-K311)/K311</f>
        <v>-0.143983480382955</v>
      </c>
      <c r="M312" s="10" t="n">
        <v>43.7</v>
      </c>
      <c r="N312" s="9" t="n">
        <f aca="false">(M312-M311)/M311</f>
        <v>-0.0995260663507109</v>
      </c>
      <c r="O312" s="0" t="n">
        <v>-0.34</v>
      </c>
      <c r="P312" s="9" t="n">
        <f aca="false">(O312-O311)/O311</f>
        <v>2.77777777777777</v>
      </c>
      <c r="Q312" s="10" t="n">
        <v>1.96</v>
      </c>
      <c r="R312" s="9" t="n">
        <f aca="false">(Q312-Q311)/Q311</f>
        <v>0.13953488372093</v>
      </c>
      <c r="S312" s="10" t="n">
        <v>2.67</v>
      </c>
      <c r="T312" s="9" t="n">
        <f aca="false">(S312-S311)/S311</f>
        <v>0.00375939849624052</v>
      </c>
      <c r="U312" s="13" t="n">
        <v>2.65</v>
      </c>
      <c r="V312" s="9" t="n">
        <f aca="false">(U312-U311)/U311</f>
        <v>0.0114503816793892</v>
      </c>
      <c r="W312" s="0" t="n">
        <v>1.3371</v>
      </c>
      <c r="X312" s="23" t="n">
        <f aca="false">(W312-W311)/W311</f>
        <v>0.0544952681388012</v>
      </c>
      <c r="Y312" s="0" t="n">
        <v>1.5734</v>
      </c>
      <c r="Z312" s="24" t="n">
        <f aca="false">(Y312-Y311)/Y311</f>
        <v>0.0145731235491358</v>
      </c>
    </row>
    <row r="313" customFormat="false" ht="13.8" hidden="false" customHeight="false" outlineLevel="0" collapsed="false">
      <c r="A313" s="8" t="n">
        <v>39797</v>
      </c>
      <c r="B313" s="0" t="n">
        <v>43.32</v>
      </c>
      <c r="C313" s="9" t="n">
        <f aca="false">(B313-B312)/B312</f>
        <v>0.00300995600833532</v>
      </c>
      <c r="D313" s="0" t="n">
        <v>44.93</v>
      </c>
      <c r="E313" s="9" t="n">
        <f aca="false">(D313-D312)/D312</f>
        <v>-0.172254974207811</v>
      </c>
      <c r="F313" s="0" t="n">
        <v>88.19</v>
      </c>
      <c r="G313" s="9" t="n">
        <f aca="false">(F313-F312)/F312</f>
        <v>-0.0089897741319249</v>
      </c>
      <c r="H313" s="0" t="n">
        <f aca="false">AVERAGE(F299:F312)</f>
        <v>98.1421428571429</v>
      </c>
      <c r="I313" s="0" t="n">
        <f aca="false">AVERAGE(F306:F312)</f>
        <v>89.12</v>
      </c>
      <c r="J313" s="0" t="n">
        <f aca="false">AVERAGE(F310:F312)</f>
        <v>89.0033333333333</v>
      </c>
      <c r="K313" s="10" t="n">
        <v>44.57</v>
      </c>
      <c r="L313" s="9" t="n">
        <f aca="false">(K313-K312)/K312</f>
        <v>-0.0225877192982456</v>
      </c>
      <c r="M313" s="10" t="n">
        <v>41.01</v>
      </c>
      <c r="N313" s="9" t="n">
        <f aca="false">(M313-M312)/M312</f>
        <v>-0.0615560640732267</v>
      </c>
      <c r="O313" s="0" t="n">
        <v>-0.24</v>
      </c>
      <c r="P313" s="9" t="n">
        <f aca="false">(O313-O312)/O312</f>
        <v>-0.294117647058823</v>
      </c>
      <c r="Q313" s="10" t="n">
        <v>1.6</v>
      </c>
      <c r="R313" s="9" t="n">
        <f aca="false">(Q313-Q312)/Q312</f>
        <v>-0.183673469387755</v>
      </c>
      <c r="S313" s="10" t="n">
        <v>2.26</v>
      </c>
      <c r="T313" s="9" t="n">
        <f aca="false">(S313-S312)/S312</f>
        <v>-0.153558052434457</v>
      </c>
      <c r="U313" s="13" t="n">
        <v>2.23</v>
      </c>
      <c r="V313" s="9" t="n">
        <f aca="false">(U313-U312)/U312</f>
        <v>-0.158490566037736</v>
      </c>
      <c r="W313" s="0" t="n">
        <v>1.3885</v>
      </c>
      <c r="X313" s="23" t="n">
        <f aca="false">(W313-W312)/W312</f>
        <v>0.0384414030364222</v>
      </c>
      <c r="Y313" s="0" t="n">
        <v>1.538</v>
      </c>
      <c r="Z313" s="24" t="n">
        <f aca="false">(Y313-Y312)/Y312</f>
        <v>-0.0224990466505656</v>
      </c>
    </row>
    <row r="314" customFormat="false" ht="13.8" hidden="false" customHeight="false" outlineLevel="0" collapsed="false">
      <c r="A314" s="8" t="n">
        <v>39804</v>
      </c>
      <c r="B314" s="0" t="n">
        <v>41.95</v>
      </c>
      <c r="C314" s="9" t="n">
        <f aca="false">(B314-B313)/B313</f>
        <v>-0.0316251154201292</v>
      </c>
      <c r="D314" s="0" t="n">
        <v>43.38</v>
      </c>
      <c r="E314" s="9" t="n">
        <f aca="false">(D314-D313)/D313</f>
        <v>-0.0344981081682617</v>
      </c>
      <c r="F314" s="0" t="n">
        <v>87.16</v>
      </c>
      <c r="G314" s="9" t="n">
        <f aca="false">(F314-F313)/F313</f>
        <v>-0.0116793287220773</v>
      </c>
      <c r="H314" s="0" t="n">
        <f aca="false">AVERAGE(F300:F313)</f>
        <v>95.435</v>
      </c>
      <c r="I314" s="0" t="n">
        <f aca="false">AVERAGE(F307:F313)</f>
        <v>87.8857142857143</v>
      </c>
      <c r="J314" s="0" t="n">
        <f aca="false">AVERAGE(F311:F313)</f>
        <v>88.37</v>
      </c>
      <c r="K314" s="10" t="n">
        <v>39.7</v>
      </c>
      <c r="L314" s="9" t="n">
        <f aca="false">(K314-K313)/K313</f>
        <v>-0.109266322638546</v>
      </c>
      <c r="M314" s="10" t="n">
        <v>41.71</v>
      </c>
      <c r="N314" s="9" t="n">
        <f aca="false">(M314-M313)/M313</f>
        <v>0.017069007559132</v>
      </c>
      <c r="O314" s="0" t="n">
        <v>-0.29</v>
      </c>
      <c r="P314" s="9" t="n">
        <f aca="false">(O314-O313)/O313</f>
        <v>0.208333333333334</v>
      </c>
      <c r="Q314" s="10" t="n">
        <v>1.79</v>
      </c>
      <c r="R314" s="9" t="n">
        <f aca="false">(Q314-Q313)/Q313</f>
        <v>0.11875</v>
      </c>
      <c r="S314" s="10" t="n">
        <v>2.18</v>
      </c>
      <c r="T314" s="9" t="n">
        <f aca="false">(S314-S313)/S313</f>
        <v>-0.0353982300884954</v>
      </c>
      <c r="U314" s="13" t="n">
        <v>2.16</v>
      </c>
      <c r="V314" s="9" t="n">
        <f aca="false">(U314-U313)/U313</f>
        <v>-0.0313901345291479</v>
      </c>
      <c r="W314" s="0" t="n">
        <v>1.406</v>
      </c>
      <c r="X314" s="23" t="n">
        <f aca="false">(W314-W313)/W313</f>
        <v>0.0126035289881166</v>
      </c>
      <c r="Y314" s="0" t="n">
        <v>1.5016</v>
      </c>
      <c r="Z314" s="24" t="n">
        <f aca="false">(Y314-Y313)/Y313</f>
        <v>-0.023667100130039</v>
      </c>
    </row>
    <row r="315" customFormat="false" ht="13.8" hidden="false" customHeight="false" outlineLevel="0" collapsed="false">
      <c r="A315" s="8" t="n">
        <v>39811</v>
      </c>
      <c r="B315" s="0" t="n">
        <v>45.18</v>
      </c>
      <c r="C315" s="9" t="n">
        <f aca="false">(B315-B314)/B314</f>
        <v>0.0769964243146602</v>
      </c>
      <c r="D315" s="0" t="n">
        <v>39.19</v>
      </c>
      <c r="E315" s="9" t="n">
        <f aca="false">(D315-D314)/D314</f>
        <v>-0.0965882895343477</v>
      </c>
      <c r="F315" s="0" t="n">
        <v>92.96</v>
      </c>
      <c r="G315" s="9" t="n">
        <f aca="false">(F315-F314)/F314</f>
        <v>0.0665442863698944</v>
      </c>
      <c r="H315" s="0" t="n">
        <f aca="false">AVERAGE(F301:F314)</f>
        <v>92.795</v>
      </c>
      <c r="I315" s="0" t="n">
        <f aca="false">AVERAGE(F308:F314)</f>
        <v>86.9285714285714</v>
      </c>
      <c r="J315" s="0" t="n">
        <f aca="false">AVERAGE(F312:F314)</f>
        <v>88.1133333333333</v>
      </c>
      <c r="K315" s="10" t="n">
        <v>32.98</v>
      </c>
      <c r="L315" s="9" t="n">
        <f aca="false">(K315-K314)/K314</f>
        <v>-0.16926952141058</v>
      </c>
      <c r="M315" s="10" t="n">
        <v>35.38</v>
      </c>
      <c r="N315" s="9" t="n">
        <f aca="false">(M315-M314)/M314</f>
        <v>-0.15176216734596</v>
      </c>
      <c r="O315" s="0" t="n">
        <v>-0.24</v>
      </c>
      <c r="P315" s="9" t="n">
        <f aca="false">(O315-O314)/O314</f>
        <v>-0.172413793103448</v>
      </c>
      <c r="Q315" s="10" t="n">
        <v>1.79</v>
      </c>
      <c r="R315" s="9" t="n">
        <f aca="false">(Q315-Q314)/Q314</f>
        <v>0</v>
      </c>
      <c r="S315" s="10" t="n">
        <v>2.24</v>
      </c>
      <c r="T315" s="9" t="n">
        <f aca="false">(S315-S314)/S314</f>
        <v>0.0275229357798165</v>
      </c>
      <c r="U315" s="13" t="n">
        <v>2.15</v>
      </c>
      <c r="V315" s="9" t="n">
        <f aca="false">(U315-U314)/U314</f>
        <v>-0.00462962962962953</v>
      </c>
      <c r="W315" s="0" t="n">
        <v>1.3855</v>
      </c>
      <c r="X315" s="23" t="n">
        <f aca="false">(W315-W314)/W314</f>
        <v>-0.0145803698435277</v>
      </c>
      <c r="Y315" s="0" t="n">
        <v>1.5023</v>
      </c>
      <c r="Z315" s="24" t="n">
        <f aca="false">(Y315-Y314)/Y314</f>
        <v>0.000466169419286044</v>
      </c>
    </row>
    <row r="316" customFormat="false" ht="13.8" hidden="false" customHeight="false" outlineLevel="0" collapsed="false">
      <c r="A316" s="8" t="n">
        <v>39818</v>
      </c>
      <c r="B316" s="0" t="n">
        <v>39.85</v>
      </c>
      <c r="C316" s="9" t="n">
        <f aca="false">(B316-B315)/B315</f>
        <v>-0.117972554227534</v>
      </c>
      <c r="D316" s="0" t="n">
        <v>42.82</v>
      </c>
      <c r="E316" s="9" t="n">
        <f aca="false">(D316-D315)/D315</f>
        <v>0.0926256698137281</v>
      </c>
      <c r="F316" s="0" t="n">
        <v>89.09</v>
      </c>
      <c r="G316" s="9" t="n">
        <f aca="false">(F316-F315)/F315</f>
        <v>-0.041630808950086</v>
      </c>
      <c r="H316" s="0" t="n">
        <f aca="false">AVERAGE(F302:F315)</f>
        <v>90.8028571428572</v>
      </c>
      <c r="I316" s="0" t="n">
        <f aca="false">AVERAGE(F309:F315)</f>
        <v>87.8342857142857</v>
      </c>
      <c r="J316" s="0" t="n">
        <f aca="false">AVERAGE(F313:F315)</f>
        <v>89.4366666666667</v>
      </c>
      <c r="K316" s="10" t="n">
        <v>42.4</v>
      </c>
      <c r="L316" s="9" t="n">
        <f aca="false">(K316-K315)/K315</f>
        <v>0.285627653123105</v>
      </c>
      <c r="M316" s="10" t="n">
        <v>37.04</v>
      </c>
      <c r="N316" s="9" t="n">
        <f aca="false">(M316-M315)/M315</f>
        <v>0.046919163369135</v>
      </c>
      <c r="O316" s="0" t="n">
        <v>-0.12</v>
      </c>
      <c r="P316" s="9" t="n">
        <f aca="false">(O316-O315)/O315</f>
        <v>-0.5</v>
      </c>
      <c r="Q316" s="10" t="n">
        <v>1.74</v>
      </c>
      <c r="R316" s="9" t="n">
        <f aca="false">(Q316-Q315)/Q315</f>
        <v>-0.0279329608938548</v>
      </c>
      <c r="S316" s="10" t="n">
        <v>2.48</v>
      </c>
      <c r="T316" s="9" t="n">
        <f aca="false">(S316-S315)/S315</f>
        <v>0.107142857142857</v>
      </c>
      <c r="U316" s="13" t="n">
        <v>2.37</v>
      </c>
      <c r="V316" s="9" t="n">
        <f aca="false">(U316-U315)/U315</f>
        <v>0.102325581395349</v>
      </c>
      <c r="W316" s="0" t="n">
        <v>1.3431</v>
      </c>
      <c r="X316" s="23" t="n">
        <f aca="false">(W316-W315)/W315</f>
        <v>-0.0306026705160592</v>
      </c>
      <c r="Y316" s="0" t="n">
        <v>1.4981</v>
      </c>
      <c r="Z316" s="24" t="n">
        <f aca="false">(Y316-Y315)/Y315</f>
        <v>-0.00279571323969912</v>
      </c>
    </row>
    <row r="317" customFormat="false" ht="13.8" hidden="false" customHeight="false" outlineLevel="0" collapsed="false">
      <c r="A317" s="8" t="n">
        <v>39825</v>
      </c>
      <c r="B317" s="0" t="n">
        <v>31.56</v>
      </c>
      <c r="C317" s="9" t="n">
        <f aca="false">(B317-B316)/B316</f>
        <v>-0.208030112923463</v>
      </c>
      <c r="D317" s="0" t="n">
        <v>46.11</v>
      </c>
      <c r="E317" s="9" t="n">
        <f aca="false">(D317-D316)/D316</f>
        <v>0.0768332554880897</v>
      </c>
      <c r="F317" s="0" t="n">
        <v>85.06</v>
      </c>
      <c r="G317" s="9" t="n">
        <f aca="false">(F317-F316)/F316</f>
        <v>-0.04523515546077</v>
      </c>
      <c r="H317" s="0" t="n">
        <f aca="false">AVERAGE(F303:F316)</f>
        <v>89.285</v>
      </c>
      <c r="I317" s="0" t="n">
        <f aca="false">AVERAGE(F310:F316)</f>
        <v>89.2014285714286</v>
      </c>
      <c r="J317" s="0" t="n">
        <f aca="false">AVERAGE(F314:F316)</f>
        <v>89.7366666666667</v>
      </c>
      <c r="K317" s="10" t="n">
        <v>44.46</v>
      </c>
      <c r="L317" s="9" t="n">
        <f aca="false">(K317-K316)/K316</f>
        <v>0.0485849056603774</v>
      </c>
      <c r="M317" s="10" t="n">
        <v>45.25</v>
      </c>
      <c r="N317" s="9" t="n">
        <f aca="false">(M317-M316)/M316</f>
        <v>0.221652267818575</v>
      </c>
      <c r="O317" s="0" t="n">
        <v>-0.0700000000000001</v>
      </c>
      <c r="P317" s="9" t="n">
        <f aca="false">(O317-O316)/O316</f>
        <v>-0.416666666666666</v>
      </c>
      <c r="Q317" s="10" t="n">
        <v>1.49</v>
      </c>
      <c r="R317" s="9" t="n">
        <f aca="false">(Q317-Q316)/Q316</f>
        <v>-0.14367816091954</v>
      </c>
      <c r="S317" s="10" t="n">
        <v>2.3</v>
      </c>
      <c r="T317" s="9" t="n">
        <f aca="false">(S317-S316)/S316</f>
        <v>-0.0725806451612904</v>
      </c>
      <c r="U317" s="13" t="n">
        <v>2.18</v>
      </c>
      <c r="V317" s="9" t="n">
        <f aca="false">(U317-U316)/U316</f>
        <v>-0.0801687763713082</v>
      </c>
      <c r="W317" s="0" t="n">
        <v>1.3257</v>
      </c>
      <c r="X317" s="23" t="n">
        <f aca="false">(W317-W316)/W316</f>
        <v>-0.0129551038641947</v>
      </c>
      <c r="Y317" s="0" t="n">
        <v>1.4827</v>
      </c>
      <c r="Z317" s="24" t="n">
        <f aca="false">(Y317-Y316)/Y316</f>
        <v>-0.0102796876042988</v>
      </c>
    </row>
    <row r="318" customFormat="false" ht="13.8" hidden="false" customHeight="false" outlineLevel="0" collapsed="false">
      <c r="A318" s="8" t="n">
        <v>39833</v>
      </c>
      <c r="B318" s="0" t="n">
        <v>28.44</v>
      </c>
      <c r="C318" s="9" t="n">
        <f aca="false">(B318-B317)/B317</f>
        <v>-0.0988593155893535</v>
      </c>
      <c r="D318" s="0" t="n">
        <v>47.27</v>
      </c>
      <c r="E318" s="9" t="n">
        <f aca="false">(D318-D317)/D317</f>
        <v>0.0251572327044026</v>
      </c>
      <c r="F318" s="0" t="n">
        <v>83.11</v>
      </c>
      <c r="G318" s="9" t="n">
        <f aca="false">(F318-F317)/F317</f>
        <v>-0.0229249941217964</v>
      </c>
      <c r="H318" s="0" t="n">
        <f aca="false">AVERAGE(F304:F317)</f>
        <v>89.0392857142857</v>
      </c>
      <c r="I318" s="0" t="n">
        <f aca="false">AVERAGE(F311:F317)</f>
        <v>88.4828571428572</v>
      </c>
      <c r="J318" s="0" t="n">
        <f aca="false">AVERAGE(F315:F317)</f>
        <v>89.0366666666667</v>
      </c>
      <c r="K318" s="10" t="n">
        <v>36.73</v>
      </c>
      <c r="L318" s="9" t="n">
        <f aca="false">(K318-K317)/K317</f>
        <v>-0.173864147548358</v>
      </c>
      <c r="M318" s="10" t="n">
        <v>42.38</v>
      </c>
      <c r="N318" s="9" t="n">
        <f aca="false">(M318-M317)/M317</f>
        <v>-0.0634254143646408</v>
      </c>
      <c r="O318" s="0" t="n">
        <v>0.0600000000000001</v>
      </c>
      <c r="P318" s="9" t="n">
        <f aca="false">(O318-O317)/O317</f>
        <v>-1.85714285714286</v>
      </c>
      <c r="Q318" s="10" t="n">
        <v>1.52</v>
      </c>
      <c r="R318" s="9" t="n">
        <f aca="false">(Q318-Q317)/Q317</f>
        <v>0.0201342281879195</v>
      </c>
      <c r="S318" s="10" t="n">
        <v>2.56</v>
      </c>
      <c r="T318" s="9" t="n">
        <f aca="false">(S318-S317)/S317</f>
        <v>0.11304347826087</v>
      </c>
      <c r="U318" s="13" t="n">
        <v>2.45</v>
      </c>
      <c r="V318" s="9" t="n">
        <f aca="false">(U318-U317)/U317</f>
        <v>0.123853211009175</v>
      </c>
      <c r="W318" s="0" t="n">
        <v>1.2978</v>
      </c>
      <c r="X318" s="23" t="n">
        <f aca="false">(W318-W317)/W317</f>
        <v>-0.0210454854039376</v>
      </c>
      <c r="Y318" s="0" t="n">
        <v>1.5016</v>
      </c>
      <c r="Z318" s="24" t="n">
        <f aca="false">(Y318-Y317)/Y317</f>
        <v>0.0127470155796858</v>
      </c>
    </row>
    <row r="319" customFormat="false" ht="13.8" hidden="false" customHeight="false" outlineLevel="0" collapsed="false">
      <c r="A319" s="8" t="n">
        <v>39839</v>
      </c>
      <c r="B319" s="0" t="n">
        <v>28.72</v>
      </c>
      <c r="C319" s="9" t="n">
        <f aca="false">(B319-B318)/B318</f>
        <v>0.0098452883263009</v>
      </c>
      <c r="D319" s="0" t="n">
        <v>44.84</v>
      </c>
      <c r="E319" s="9" t="n">
        <f aca="false">(D319-D318)/D318</f>
        <v>-0.0514068119314576</v>
      </c>
      <c r="F319" s="0" t="n">
        <v>82.83</v>
      </c>
      <c r="G319" s="9" t="n">
        <f aca="false">(F319-F318)/F318</f>
        <v>-0.00336902899771389</v>
      </c>
      <c r="H319" s="0" t="n">
        <f aca="false">AVERAGE(F305:F318)</f>
        <v>88.3178571428571</v>
      </c>
      <c r="I319" s="0" t="n">
        <f aca="false">AVERAGE(F312:F318)</f>
        <v>87.7942857142857</v>
      </c>
      <c r="J319" s="0" t="n">
        <f aca="false">AVERAGE(F316:F318)</f>
        <v>85.7533333333333</v>
      </c>
      <c r="K319" s="10" t="n">
        <v>42.15</v>
      </c>
      <c r="L319" s="9" t="n">
        <f aca="false">(K319-K318)/K318</f>
        <v>0.147563299754969</v>
      </c>
      <c r="M319" s="10" t="n">
        <v>41.67</v>
      </c>
      <c r="N319" s="9" t="n">
        <f aca="false">(M319-M318)/M318</f>
        <v>-0.0167531854648419</v>
      </c>
      <c r="O319" s="0" t="n">
        <v>0.24</v>
      </c>
      <c r="P319" s="9" t="n">
        <f aca="false">(O319-O318)/O318</f>
        <v>3</v>
      </c>
      <c r="Q319" s="10" t="n">
        <v>1.5</v>
      </c>
      <c r="R319" s="9" t="n">
        <f aca="false">(Q319-Q318)/Q318</f>
        <v>-0.0131578947368421</v>
      </c>
      <c r="S319" s="10" t="n">
        <v>2.75</v>
      </c>
      <c r="T319" s="9" t="n">
        <f aca="false">(S319-S318)/S318</f>
        <v>0.07421875</v>
      </c>
      <c r="U319" s="13" t="n">
        <v>2.56</v>
      </c>
      <c r="V319" s="9" t="n">
        <f aca="false">(U319-U318)/U318</f>
        <v>0.0448979591836734</v>
      </c>
      <c r="W319" s="0" t="n">
        <v>1.2793</v>
      </c>
      <c r="X319" s="23" t="n">
        <f aca="false">(W319-W318)/W318</f>
        <v>-0.0142548928956696</v>
      </c>
      <c r="Y319" s="0" t="n">
        <v>1.4872</v>
      </c>
      <c r="Z319" s="24" t="n">
        <f aca="false">(Y319-Y318)/Y318</f>
        <v>-0.00958977091102822</v>
      </c>
    </row>
    <row r="320" customFormat="false" ht="13.8" hidden="false" customHeight="false" outlineLevel="0" collapsed="false">
      <c r="A320" s="8" t="n">
        <v>39846</v>
      </c>
      <c r="B320" s="0" t="n">
        <v>30.37</v>
      </c>
      <c r="C320" s="9" t="n">
        <f aca="false">(B320-B319)/B319</f>
        <v>0.0574512534818942</v>
      </c>
      <c r="D320" s="0" t="n">
        <v>43.37</v>
      </c>
      <c r="E320" s="9" t="n">
        <f aca="false">(D320-D319)/D319</f>
        <v>-0.0327832292595898</v>
      </c>
      <c r="F320" s="0" t="n">
        <v>86.98</v>
      </c>
      <c r="G320" s="9" t="n">
        <f aca="false">(F320-F319)/F319</f>
        <v>0.0501026198237354</v>
      </c>
      <c r="H320" s="0" t="n">
        <f aca="false">AVERAGE(F306:F319)</f>
        <v>88.0171428571429</v>
      </c>
      <c r="I320" s="0" t="n">
        <f aca="false">AVERAGE(F313:F319)</f>
        <v>86.9142857142857</v>
      </c>
      <c r="J320" s="0" t="n">
        <f aca="false">AVERAGE(F317:F319)</f>
        <v>83.6666666666667</v>
      </c>
      <c r="K320" s="10" t="n">
        <v>42.7</v>
      </c>
      <c r="L320" s="9" t="n">
        <f aca="false">(K320-K319)/K319</f>
        <v>0.0130486358244366</v>
      </c>
      <c r="M320" s="10" t="n">
        <v>44.2</v>
      </c>
      <c r="N320" s="9" t="n">
        <f aca="false">(M320-M319)/M319</f>
        <v>0.0607151427885769</v>
      </c>
      <c r="O320" s="0" t="n">
        <v>0.5</v>
      </c>
      <c r="P320" s="9" t="n">
        <f aca="false">(O320-O319)/O319</f>
        <v>1.08333333333333</v>
      </c>
      <c r="Q320" s="10" t="n">
        <v>1.38</v>
      </c>
      <c r="R320" s="9" t="n">
        <f aca="false">(Q320-Q319)/Q319</f>
        <v>-0.0800000000000001</v>
      </c>
      <c r="S320" s="10" t="n">
        <v>2.92</v>
      </c>
      <c r="T320" s="9" t="n">
        <f aca="false">(S320-S319)/S319</f>
        <v>0.0618181818181818</v>
      </c>
      <c r="U320" s="13" t="n">
        <v>2.63</v>
      </c>
      <c r="V320" s="9" t="n">
        <f aca="false">(U320-U319)/U319</f>
        <v>0.0273437499999999</v>
      </c>
      <c r="W320" s="0" t="n">
        <v>1.2945</v>
      </c>
      <c r="X320" s="23" t="n">
        <f aca="false">(W320-W319)/W319</f>
        <v>0.0118814976940513</v>
      </c>
      <c r="Y320" s="0" t="n">
        <v>1.5049</v>
      </c>
      <c r="Z320" s="24" t="n">
        <f aca="false">(Y320-Y319)/Y319</f>
        <v>0.0119015599784829</v>
      </c>
    </row>
    <row r="321" customFormat="false" ht="13.8" hidden="false" customHeight="false" outlineLevel="0" collapsed="false">
      <c r="A321" s="8" t="n">
        <v>39853</v>
      </c>
      <c r="B321" s="0" t="n">
        <v>26.11</v>
      </c>
      <c r="C321" s="9" t="n">
        <f aca="false">(B321-B320)/B320</f>
        <v>-0.140270003292723</v>
      </c>
      <c r="D321" s="0" t="n">
        <v>42.93</v>
      </c>
      <c r="E321" s="9" t="n">
        <f aca="false">(D321-D320)/D320</f>
        <v>-0.010145261701637</v>
      </c>
      <c r="F321" s="0" t="n">
        <v>82.76</v>
      </c>
      <c r="G321" s="9" t="n">
        <f aca="false">(F321-F320)/F320</f>
        <v>-0.048516900436882</v>
      </c>
      <c r="H321" s="0" t="n">
        <f aca="false">AVERAGE(F307:F320)</f>
        <v>87.3135714285714</v>
      </c>
      <c r="I321" s="0" t="n">
        <f aca="false">AVERAGE(F314:F320)</f>
        <v>86.7414285714286</v>
      </c>
      <c r="J321" s="0" t="n">
        <f aca="false">AVERAGE(F318:F320)</f>
        <v>84.3066666666667</v>
      </c>
      <c r="K321" s="10" t="n">
        <v>40.78</v>
      </c>
      <c r="L321" s="9" t="n">
        <f aca="false">(K321-K320)/K320</f>
        <v>-0.0449648711943794</v>
      </c>
      <c r="M321" s="10" t="n">
        <v>43.64</v>
      </c>
      <c r="N321" s="9" t="n">
        <f aca="false">(M321-M320)/M320</f>
        <v>-0.0126696832579186</v>
      </c>
      <c r="O321" s="0" t="n">
        <v>0.71</v>
      </c>
      <c r="P321" s="9" t="n">
        <f aca="false">(O321-O320)/O320</f>
        <v>0.42</v>
      </c>
      <c r="Q321" s="10" t="n">
        <v>1.12</v>
      </c>
      <c r="R321" s="9" t="n">
        <f aca="false">(Q321-Q320)/Q320</f>
        <v>-0.188405797101449</v>
      </c>
      <c r="S321" s="10" t="n">
        <v>2.88</v>
      </c>
      <c r="T321" s="9" t="n">
        <f aca="false">(S321-S320)/S320</f>
        <v>-0.0136986301369863</v>
      </c>
      <c r="U321" s="13" t="n">
        <v>2.58</v>
      </c>
      <c r="V321" s="9" t="n">
        <f aca="false">(U321-U320)/U320</f>
        <v>-0.0190114068441064</v>
      </c>
      <c r="W321" s="0" t="n">
        <v>1.289</v>
      </c>
      <c r="X321" s="23" t="n">
        <f aca="false">(W321-W320)/W320</f>
        <v>-0.00424874468906919</v>
      </c>
      <c r="Y321" s="0" t="n">
        <v>1.4924</v>
      </c>
      <c r="Z321" s="24" t="n">
        <f aca="false">(Y321-Y320)/Y320</f>
        <v>-0.0083061997474915</v>
      </c>
    </row>
    <row r="322" customFormat="false" ht="13.8" hidden="false" customHeight="false" outlineLevel="0" collapsed="false">
      <c r="A322" s="8" t="n">
        <v>39861</v>
      </c>
      <c r="B322" s="0" t="n">
        <v>21.7</v>
      </c>
      <c r="C322" s="9" t="n">
        <f aca="false">(B322-B321)/B321</f>
        <v>-0.168900804289544</v>
      </c>
      <c r="D322" s="0" t="n">
        <v>49.3</v>
      </c>
      <c r="E322" s="9" t="n">
        <f aca="false">(D322-D321)/D321</f>
        <v>0.148381085488004</v>
      </c>
      <c r="F322" s="0" t="n">
        <v>77.42</v>
      </c>
      <c r="G322" s="9" t="n">
        <f aca="false">(F322-F321)/F321</f>
        <v>-0.0645239246012567</v>
      </c>
      <c r="H322" s="0" t="n">
        <f aca="false">AVERAGE(F308:F321)</f>
        <v>86.5207142857143</v>
      </c>
      <c r="I322" s="0" t="n">
        <f aca="false">AVERAGE(F315:F321)</f>
        <v>86.1128571428571</v>
      </c>
      <c r="J322" s="0" t="n">
        <f aca="false">AVERAGE(F319:F321)</f>
        <v>84.19</v>
      </c>
      <c r="K322" s="10" t="n">
        <v>36.94</v>
      </c>
      <c r="L322" s="9" t="n">
        <f aca="false">(K322-K321)/K321</f>
        <v>-0.0941638057871506</v>
      </c>
      <c r="M322" s="10" t="n">
        <v>45.59</v>
      </c>
      <c r="N322" s="9" t="n">
        <f aca="false">(M322-M321)/M321</f>
        <v>0.0446837763519707</v>
      </c>
      <c r="O322" s="0" t="n">
        <v>0.53</v>
      </c>
      <c r="P322" s="9" t="n">
        <f aca="false">(O322-O321)/O321</f>
        <v>-0.253521126760563</v>
      </c>
      <c r="Q322" s="10" t="n">
        <v>1.26</v>
      </c>
      <c r="R322" s="9" t="n">
        <f aca="false">(Q322-Q321)/Q321</f>
        <v>0.125</v>
      </c>
      <c r="S322" s="10" t="n">
        <v>2.75</v>
      </c>
      <c r="T322" s="9" t="n">
        <f aca="false">(S322-S321)/S321</f>
        <v>-0.0451388888888889</v>
      </c>
      <c r="U322" s="13" t="n">
        <v>2.45</v>
      </c>
      <c r="V322" s="9" t="n">
        <f aca="false">(U322-U321)/U321</f>
        <v>-0.0503875968992248</v>
      </c>
      <c r="W322" s="0" t="n">
        <v>1.2848</v>
      </c>
      <c r="X322" s="23" t="n">
        <f aca="false">(W322-W321)/W321</f>
        <v>-0.00325833979829324</v>
      </c>
      <c r="Y322" s="0" t="n">
        <v>1.4818</v>
      </c>
      <c r="Z322" s="24" t="n">
        <f aca="false">(Y322-Y321)/Y321</f>
        <v>-0.00710265344411682</v>
      </c>
    </row>
    <row r="323" customFormat="false" ht="13.8" hidden="false" customHeight="false" outlineLevel="0" collapsed="false">
      <c r="A323" s="8" t="n">
        <v>39867</v>
      </c>
      <c r="B323" s="0" t="n">
        <v>24.16</v>
      </c>
      <c r="C323" s="9" t="n">
        <f aca="false">(B323-B322)/B322</f>
        <v>0.113364055299539</v>
      </c>
      <c r="D323" s="0" t="n">
        <v>46.35</v>
      </c>
      <c r="E323" s="9" t="n">
        <f aca="false">(D323-D322)/D322</f>
        <v>-0.0598377281947261</v>
      </c>
      <c r="F323" s="0" t="n">
        <v>73.93</v>
      </c>
      <c r="G323" s="9" t="n">
        <f aca="false">(F323-F322)/F322</f>
        <v>-0.0450787910100749</v>
      </c>
      <c r="H323" s="0" t="n">
        <f aca="false">AVERAGE(F309:F322)</f>
        <v>85.8635714285714</v>
      </c>
      <c r="I323" s="0" t="n">
        <f aca="false">AVERAGE(F316:F322)</f>
        <v>83.8928571428571</v>
      </c>
      <c r="J323" s="0" t="n">
        <f aca="false">AVERAGE(F320:F322)</f>
        <v>82.3866666666667</v>
      </c>
      <c r="K323" s="10" t="n">
        <v>37.15</v>
      </c>
      <c r="L323" s="9" t="n">
        <f aca="false">(K323-K322)/K322</f>
        <v>0.0056848944233893</v>
      </c>
      <c r="M323" s="10" t="n">
        <v>40.91</v>
      </c>
      <c r="N323" s="9" t="n">
        <f aca="false">(M323-M322)/M322</f>
        <v>-0.102654090809388</v>
      </c>
      <c r="O323" s="0" t="n">
        <v>0.58</v>
      </c>
      <c r="P323" s="9" t="n">
        <f aca="false">(O323-O322)/O322</f>
        <v>0.0943396226415095</v>
      </c>
      <c r="Q323" s="10" t="n">
        <v>1.39</v>
      </c>
      <c r="R323" s="9" t="n">
        <f aca="false">(Q323-Q322)/Q322</f>
        <v>0.103174603174603</v>
      </c>
      <c r="S323" s="10" t="n">
        <v>2.91</v>
      </c>
      <c r="T323" s="9" t="n">
        <f aca="false">(S323-S322)/S322</f>
        <v>0.0581818181818182</v>
      </c>
      <c r="U323" s="13" t="n">
        <v>2.62</v>
      </c>
      <c r="V323" s="9" t="n">
        <f aca="false">(U323-U322)/U322</f>
        <v>0.0693877551020408</v>
      </c>
      <c r="W323" s="0" t="n">
        <v>1.2694</v>
      </c>
      <c r="X323" s="23" t="n">
        <f aca="false">(W323-W322)/W322</f>
        <v>-0.0119863013698629</v>
      </c>
      <c r="Y323" s="0" t="n">
        <v>1.4832</v>
      </c>
      <c r="Z323" s="24" t="n">
        <f aca="false">(Y323-Y322)/Y322</f>
        <v>0.000944796868673281</v>
      </c>
    </row>
    <row r="324" customFormat="false" ht="13.8" hidden="false" customHeight="false" outlineLevel="0" collapsed="false">
      <c r="A324" s="8" t="n">
        <v>39874</v>
      </c>
      <c r="B324" s="0" t="n">
        <v>18.62</v>
      </c>
      <c r="C324" s="9" t="n">
        <f aca="false">(B324-B323)/B323</f>
        <v>-0.229304635761589</v>
      </c>
      <c r="D324" s="0" t="n">
        <v>49.33</v>
      </c>
      <c r="E324" s="9" t="n">
        <f aca="false">(D324-D323)/D323</f>
        <v>0.0642934196332254</v>
      </c>
      <c r="F324" s="0" t="n">
        <v>68.92</v>
      </c>
      <c r="G324" s="9" t="n">
        <f aca="false">(F324-F323)/F323</f>
        <v>-0.067766806438523</v>
      </c>
      <c r="H324" s="0" t="n">
        <f aca="false">AVERAGE(F310:F323)</f>
        <v>85.4642857142857</v>
      </c>
      <c r="I324" s="0" t="n">
        <f aca="false">AVERAGE(F317:F323)</f>
        <v>81.7271428571429</v>
      </c>
      <c r="J324" s="0" t="n">
        <f aca="false">AVERAGE(F321:F323)</f>
        <v>78.0366666666667</v>
      </c>
      <c r="K324" s="10" t="n">
        <v>41.1</v>
      </c>
      <c r="L324" s="9" t="n">
        <f aca="false">(K324-K323)/K323</f>
        <v>0.106325706594886</v>
      </c>
      <c r="M324" s="10" t="n">
        <v>42.68</v>
      </c>
      <c r="N324" s="9" t="n">
        <f aca="false">(M324-M323)/M323</f>
        <v>0.0432657052065511</v>
      </c>
      <c r="O324" s="0" t="n">
        <v>0.44</v>
      </c>
      <c r="P324" s="9" t="n">
        <f aca="false">(O324-O323)/O323</f>
        <v>-0.241379310344827</v>
      </c>
      <c r="Q324" s="10" t="n">
        <v>1.43</v>
      </c>
      <c r="R324" s="9" t="n">
        <f aca="false">(Q324-Q323)/Q323</f>
        <v>0.028776978417266</v>
      </c>
      <c r="S324" s="10" t="n">
        <v>2.9</v>
      </c>
      <c r="T324" s="9" t="n">
        <f aca="false">(S324-S323)/S323</f>
        <v>-0.00343642611683857</v>
      </c>
      <c r="U324" s="13" t="n">
        <v>2.66</v>
      </c>
      <c r="V324" s="9" t="n">
        <f aca="false">(U324-U323)/U323</f>
        <v>0.0152671755725191</v>
      </c>
      <c r="W324" s="0" t="n">
        <v>1.2636</v>
      </c>
      <c r="X324" s="23" t="n">
        <f aca="false">(W324-W323)/W323</f>
        <v>-0.00456908775799593</v>
      </c>
      <c r="Y324" s="0" t="n">
        <v>1.4654</v>
      </c>
      <c r="Z324" s="24" t="n">
        <f aca="false">(Y324-Y323)/Y323</f>
        <v>-0.0120010787486516</v>
      </c>
    </row>
    <row r="325" customFormat="false" ht="13.8" hidden="false" customHeight="false" outlineLevel="0" collapsed="false">
      <c r="A325" s="8" t="n">
        <v>39881</v>
      </c>
      <c r="B325" s="0" t="n">
        <v>25.59</v>
      </c>
      <c r="C325" s="9" t="n">
        <f aca="false">(B325-B324)/B324</f>
        <v>0.374328678839957</v>
      </c>
      <c r="D325" s="0" t="n">
        <v>42.36</v>
      </c>
      <c r="E325" s="9" t="n">
        <f aca="false">(D325-D324)/D324</f>
        <v>-0.141293330630448</v>
      </c>
      <c r="F325" s="0" t="n">
        <v>76.09</v>
      </c>
      <c r="G325" s="9" t="n">
        <f aca="false">(F325-F324)/F324</f>
        <v>0.104033662217063</v>
      </c>
      <c r="H325" s="0" t="n">
        <f aca="false">AVERAGE(F311:F324)</f>
        <v>83.9521428571429</v>
      </c>
      <c r="I325" s="0" t="n">
        <f aca="false">AVERAGE(F318:F324)</f>
        <v>79.4214285714286</v>
      </c>
      <c r="J325" s="0" t="n">
        <f aca="false">AVERAGE(F322:F324)</f>
        <v>73.4233333333333</v>
      </c>
      <c r="K325" s="10" t="n">
        <v>43.18</v>
      </c>
      <c r="L325" s="9" t="n">
        <f aca="false">(K325-K324)/K324</f>
        <v>0.0506082725060827</v>
      </c>
      <c r="M325" s="10" t="n">
        <v>43.86</v>
      </c>
      <c r="N325" s="9" t="n">
        <f aca="false">(M325-M324)/M324</f>
        <v>0.0276476101218369</v>
      </c>
      <c r="O325" s="0" t="n">
        <v>0.43</v>
      </c>
      <c r="P325" s="9" t="n">
        <f aca="false">(O325-O324)/O324</f>
        <v>-0.022727272727273</v>
      </c>
      <c r="Q325" s="10" t="n">
        <v>1.5</v>
      </c>
      <c r="R325" s="9" t="n">
        <f aca="false">(Q325-Q324)/Q324</f>
        <v>0.048951048951049</v>
      </c>
      <c r="S325" s="10" t="n">
        <v>2.92</v>
      </c>
      <c r="T325" s="9" t="n">
        <f aca="false">(S325-S324)/S324</f>
        <v>0.00689655172413794</v>
      </c>
      <c r="U325" s="13" t="n">
        <v>2.7</v>
      </c>
      <c r="V325" s="9" t="n">
        <f aca="false">(U325-U324)/U324</f>
        <v>0.0150375939849623</v>
      </c>
      <c r="W325" s="0" t="n">
        <v>1.29</v>
      </c>
      <c r="X325" s="23" t="n">
        <f aca="false">(W325-W324)/W324</f>
        <v>0.0208926875593542</v>
      </c>
      <c r="Y325" s="0" t="n">
        <v>1.5335</v>
      </c>
      <c r="Z325" s="24" t="n">
        <f aca="false">(Y325-Y324)/Y324</f>
        <v>0.0464719530503617</v>
      </c>
    </row>
    <row r="326" customFormat="false" ht="13.8" hidden="false" customHeight="false" outlineLevel="0" collapsed="false">
      <c r="A326" s="8" t="n">
        <v>39888</v>
      </c>
      <c r="B326" s="0" t="n">
        <v>26.04</v>
      </c>
      <c r="C326" s="9" t="n">
        <f aca="false">(B326-B325)/B325</f>
        <v>0.0175849941383353</v>
      </c>
      <c r="D326" s="0" t="n">
        <v>45.89</v>
      </c>
      <c r="E326" s="9" t="n">
        <f aca="false">(D326-D325)/D325</f>
        <v>0.0833333333333334</v>
      </c>
      <c r="F326" s="0" t="n">
        <v>76.71</v>
      </c>
      <c r="G326" s="9" t="n">
        <f aca="false">(F326-F325)/F325</f>
        <v>0.00814824549875135</v>
      </c>
      <c r="H326" s="0" t="n">
        <f aca="false">AVERAGE(F312:F325)</f>
        <v>83.1064285714286</v>
      </c>
      <c r="I326" s="0" t="n">
        <f aca="false">AVERAGE(F319:F325)</f>
        <v>78.4185714285714</v>
      </c>
      <c r="J326" s="0" t="n">
        <f aca="false">AVERAGE(F323:F325)</f>
        <v>72.98</v>
      </c>
      <c r="K326" s="10" t="n">
        <v>45.66</v>
      </c>
      <c r="L326" s="9" t="n">
        <f aca="false">(K326-K325)/K325</f>
        <v>0.0574339972209356</v>
      </c>
      <c r="M326" s="10" t="n">
        <v>43.98</v>
      </c>
      <c r="N326" s="9" t="n">
        <f aca="false">(M326-M325)/M325</f>
        <v>0.00273597811217504</v>
      </c>
      <c r="O326" s="0" t="n">
        <v>0.61</v>
      </c>
      <c r="P326" s="9" t="n">
        <f aca="false">(O326-O325)/O325</f>
        <v>0.418604651162791</v>
      </c>
      <c r="Q326" s="10" t="n">
        <v>1.14</v>
      </c>
      <c r="R326" s="9" t="n">
        <f aca="false">(Q326-Q325)/Q325</f>
        <v>-0.24</v>
      </c>
      <c r="S326" s="10" t="n">
        <v>2.75</v>
      </c>
      <c r="T326" s="9" t="n">
        <f aca="false">(S326-S325)/S325</f>
        <v>-0.0582191780821918</v>
      </c>
      <c r="U326" s="13" t="n">
        <v>2.53</v>
      </c>
      <c r="V326" s="9" t="n">
        <f aca="false">(U326-U325)/U325</f>
        <v>-0.0629629629629629</v>
      </c>
      <c r="W326" s="0" t="n">
        <v>1.3559</v>
      </c>
      <c r="X326" s="23" t="n">
        <f aca="false">(W326-W325)/W325</f>
        <v>0.0510852713178295</v>
      </c>
      <c r="Y326" s="0" t="n">
        <v>1.5316</v>
      </c>
      <c r="Z326" s="24" t="n">
        <f aca="false">(Y326-Y325)/Y325</f>
        <v>-0.0012389957613303</v>
      </c>
    </row>
    <row r="327" customFormat="false" ht="13.8" hidden="false" customHeight="false" outlineLevel="0" collapsed="false">
      <c r="A327" s="8" t="n">
        <v>39895</v>
      </c>
      <c r="B327" s="0" t="n">
        <v>29.16</v>
      </c>
      <c r="C327" s="9" t="n">
        <f aca="false">(B327-B326)/B326</f>
        <v>0.119815668202765</v>
      </c>
      <c r="D327" s="0" t="n">
        <v>41.04</v>
      </c>
      <c r="E327" s="9" t="n">
        <f aca="false">(D327-D326)/D326</f>
        <v>-0.105687513619525</v>
      </c>
      <c r="F327" s="0" t="n">
        <v>81.61</v>
      </c>
      <c r="G327" s="9" t="n">
        <f aca="false">(F327-F326)/F326</f>
        <v>0.0638769391213663</v>
      </c>
      <c r="H327" s="0" t="n">
        <f aca="false">AVERAGE(F313:F326)</f>
        <v>82.2292857142857</v>
      </c>
      <c r="I327" s="0" t="n">
        <f aca="false">AVERAGE(F320:F326)</f>
        <v>77.5442857142857</v>
      </c>
      <c r="J327" s="0" t="n">
        <f aca="false">AVERAGE(F324:F326)</f>
        <v>73.9066666666667</v>
      </c>
      <c r="K327" s="10" t="n">
        <v>49.49</v>
      </c>
      <c r="L327" s="9" t="n">
        <f aca="false">(K327-K326)/K326</f>
        <v>0.083880858519492</v>
      </c>
      <c r="M327" s="10" t="n">
        <v>46.43</v>
      </c>
      <c r="N327" s="9" t="n">
        <f aca="false">(M327-M326)/M326</f>
        <v>0.0557071396089132</v>
      </c>
      <c r="O327" s="0" t="n">
        <v>0.8</v>
      </c>
      <c r="P327" s="9" t="n">
        <f aca="false">(O327-O326)/O326</f>
        <v>0.311475409836065</v>
      </c>
      <c r="Q327" s="10" t="n">
        <v>0.96</v>
      </c>
      <c r="R327" s="9" t="n">
        <f aca="false">(Q327-Q326)/Q326</f>
        <v>-0.157894736842105</v>
      </c>
      <c r="S327" s="10" t="n">
        <v>2.74</v>
      </c>
      <c r="T327" s="9" t="n">
        <f aca="false">(S327-S326)/S326</f>
        <v>-0.00363636363636356</v>
      </c>
      <c r="U327" s="13" t="n">
        <v>2.56</v>
      </c>
      <c r="V327" s="9" t="n">
        <f aca="false">(U327-U326)/U326</f>
        <v>0.0118577075098815</v>
      </c>
      <c r="W327" s="0" t="n">
        <v>1.3305</v>
      </c>
      <c r="X327" s="23" t="n">
        <f aca="false">(W327-W326)/W326</f>
        <v>-0.0187329449074416</v>
      </c>
      <c r="Y327" s="0" t="n">
        <v>1.52</v>
      </c>
      <c r="Z327" s="24" t="n">
        <f aca="false">(Y327-Y326)/Y326</f>
        <v>-0.00757377905458348</v>
      </c>
    </row>
    <row r="328" customFormat="false" ht="13.8" hidden="false" customHeight="false" outlineLevel="0" collapsed="false">
      <c r="A328" s="8" t="n">
        <v>39902</v>
      </c>
      <c r="B328" s="0" t="n">
        <v>30.79</v>
      </c>
      <c r="C328" s="9" t="n">
        <f aca="false">(B328-B327)/B327</f>
        <v>0.0558984910836762</v>
      </c>
      <c r="D328" s="0" t="n">
        <v>39.7</v>
      </c>
      <c r="E328" s="9" t="n">
        <f aca="false">(D328-D327)/D327</f>
        <v>-0.0326510721247562</v>
      </c>
      <c r="F328" s="0" t="n">
        <v>84.26</v>
      </c>
      <c r="G328" s="9" t="n">
        <f aca="false">(F328-F327)/F327</f>
        <v>0.0324715108442594</v>
      </c>
      <c r="H328" s="0" t="n">
        <f aca="false">AVERAGE(F314:F327)</f>
        <v>81.7592857142857</v>
      </c>
      <c r="I328" s="0" t="n">
        <f aca="false">AVERAGE(F321:F327)</f>
        <v>76.7771428571429</v>
      </c>
      <c r="J328" s="0" t="n">
        <f aca="false">AVERAGE(F325:F327)</f>
        <v>78.1366666666667</v>
      </c>
      <c r="K328" s="10" t="n">
        <v>52.99</v>
      </c>
      <c r="L328" s="9" t="n">
        <f aca="false">(K328-K327)/K327</f>
        <v>0.0707213578500707</v>
      </c>
      <c r="M328" s="10" t="n">
        <v>51.46</v>
      </c>
      <c r="N328" s="9" t="n">
        <f aca="false">(M328-M327)/M327</f>
        <v>0.108335128149903</v>
      </c>
      <c r="O328" s="0" t="n">
        <v>0.75</v>
      </c>
      <c r="P328" s="9" t="n">
        <f aca="false">(O328-O327)/O327</f>
        <v>-0.0625000000000001</v>
      </c>
      <c r="Q328" s="10" t="n">
        <v>0.98</v>
      </c>
      <c r="R328" s="9" t="n">
        <f aca="false">(Q328-Q327)/Q327</f>
        <v>0.0208333333333334</v>
      </c>
      <c r="S328" s="10" t="n">
        <v>2.76</v>
      </c>
      <c r="T328" s="9" t="n">
        <f aca="false">(S328-S327)/S327</f>
        <v>0.00729927007299254</v>
      </c>
      <c r="U328" s="13" t="n">
        <v>2.55</v>
      </c>
      <c r="V328" s="9" t="n">
        <f aca="false">(U328-U327)/U327</f>
        <v>-0.00390625000000009</v>
      </c>
      <c r="W328" s="0" t="n">
        <v>1.3482</v>
      </c>
      <c r="X328" s="23" t="n">
        <f aca="false">(W328-W327)/W327</f>
        <v>0.0133032694475761</v>
      </c>
      <c r="Y328" s="0" t="n">
        <v>1.5258</v>
      </c>
      <c r="Z328" s="24" t="n">
        <f aca="false">(Y328-Y327)/Y327</f>
        <v>0.00381578947368423</v>
      </c>
    </row>
    <row r="329" customFormat="false" ht="13.8" hidden="false" customHeight="false" outlineLevel="0" collapsed="false">
      <c r="A329" s="8" t="n">
        <v>39909</v>
      </c>
      <c r="B329" s="0" t="n">
        <v>33.81</v>
      </c>
      <c r="C329" s="9" t="n">
        <f aca="false">(B329-B328)/B328</f>
        <v>0.0980837934394285</v>
      </c>
      <c r="D329" s="0" t="n">
        <v>36.53</v>
      </c>
      <c r="E329" s="9" t="n">
        <f aca="false">(D329-D328)/D328</f>
        <v>-0.0798488664987406</v>
      </c>
      <c r="F329" s="0" t="n">
        <v>85.81</v>
      </c>
      <c r="G329" s="9" t="n">
        <f aca="false">(F329-F328)/F328</f>
        <v>0.018395442677427</v>
      </c>
      <c r="H329" s="0" t="n">
        <f aca="false">AVERAGE(F315:F328)</f>
        <v>81.5521428571429</v>
      </c>
      <c r="I329" s="0" t="n">
        <f aca="false">AVERAGE(F322:F328)</f>
        <v>76.9914285714286</v>
      </c>
      <c r="J329" s="0" t="n">
        <f aca="false">AVERAGE(F326:F328)</f>
        <v>80.86</v>
      </c>
      <c r="K329" s="10" t="n">
        <v>50.34</v>
      </c>
      <c r="L329" s="9" t="n">
        <f aca="false">(K329-K328)/K328</f>
        <v>-0.0500094357425929</v>
      </c>
      <c r="M329" s="10" t="n">
        <v>48.49</v>
      </c>
      <c r="N329" s="9" t="n">
        <f aca="false">(M329-M328)/M328</f>
        <v>-0.0577147298872911</v>
      </c>
      <c r="O329" s="0" t="n">
        <v>0.82</v>
      </c>
      <c r="P329" s="9" t="n">
        <f aca="false">(O329-O328)/O328</f>
        <v>0.0933333333333333</v>
      </c>
      <c r="Q329" s="10" t="n">
        <v>1.06</v>
      </c>
      <c r="R329" s="9" t="n">
        <f aca="false">(Q329-Q328)/Q328</f>
        <v>0.0816326530612246</v>
      </c>
      <c r="S329" s="10" t="n">
        <v>2.93</v>
      </c>
      <c r="T329" s="9" t="n">
        <f aca="false">(S329-S328)/S328</f>
        <v>0.0615942028985509</v>
      </c>
      <c r="U329" s="13" t="n">
        <v>2.74</v>
      </c>
      <c r="V329" s="9" t="n">
        <f aca="false">(U329-U328)/U328</f>
        <v>0.0745098039215688</v>
      </c>
      <c r="W329" s="0" t="n">
        <v>1.3146</v>
      </c>
      <c r="X329" s="23" t="n">
        <f aca="false">(W329-W328)/W328</f>
        <v>-0.0249221183800624</v>
      </c>
      <c r="Y329" s="0" t="n">
        <v>1.5224</v>
      </c>
      <c r="Z329" s="24" t="n">
        <f aca="false">(Y329-Y328)/Y328</f>
        <v>-0.0022283392318784</v>
      </c>
    </row>
    <row r="330" customFormat="false" ht="13.8" hidden="false" customHeight="false" outlineLevel="0" collapsed="false">
      <c r="A330" s="8" t="n">
        <v>39916</v>
      </c>
      <c r="B330" s="0" t="n">
        <v>37.19</v>
      </c>
      <c r="C330" s="9" t="n">
        <f aca="false">(B330-B329)/B329</f>
        <v>0.0999704229517893</v>
      </c>
      <c r="D330" s="0" t="n">
        <v>33.94</v>
      </c>
      <c r="E330" s="9" t="n">
        <f aca="false">(D330-D329)/D329</f>
        <v>-0.0709006296194909</v>
      </c>
      <c r="F330" s="0" t="n">
        <v>87.08</v>
      </c>
      <c r="G330" s="9" t="n">
        <f aca="false">(F330-F329)/F329</f>
        <v>0.014800139843841</v>
      </c>
      <c r="H330" s="0" t="n">
        <f aca="false">AVERAGE(F316:F329)</f>
        <v>81.0414285714286</v>
      </c>
      <c r="I330" s="0" t="n">
        <f aca="false">AVERAGE(F323:F329)</f>
        <v>78.19</v>
      </c>
      <c r="J330" s="0" t="n">
        <f aca="false">AVERAGE(F327:F329)</f>
        <v>83.8933333333333</v>
      </c>
      <c r="K330" s="10" t="n">
        <v>50.46</v>
      </c>
      <c r="L330" s="9" t="n">
        <f aca="false">(K330-K329)/K329</f>
        <v>0.00238379022646002</v>
      </c>
      <c r="M330" s="10" t="n">
        <v>51.48</v>
      </c>
      <c r="N330" s="9" t="n">
        <f aca="false">(M330-M329)/M329</f>
        <v>0.0616621983914208</v>
      </c>
      <c r="O330" s="0" t="n">
        <v>0.74</v>
      </c>
      <c r="P330" s="9" t="n">
        <f aca="false">(O330-O329)/O329</f>
        <v>-0.0975609756097561</v>
      </c>
      <c r="Q330" s="10" t="n">
        <v>1.05</v>
      </c>
      <c r="R330" s="9" t="n">
        <f aca="false">(Q330-Q329)/Q329</f>
        <v>-0.00943396226415095</v>
      </c>
      <c r="S330" s="10" t="n">
        <v>2.87</v>
      </c>
      <c r="T330" s="9" t="n">
        <f aca="false">(S330-S329)/S329</f>
        <v>-0.0204778156996587</v>
      </c>
      <c r="U330" s="13" t="n">
        <v>2.72</v>
      </c>
      <c r="V330" s="9" t="n">
        <f aca="false">(U330-U329)/U329</f>
        <v>-0.00729927007299287</v>
      </c>
      <c r="W330" s="0" t="n">
        <v>1.3027</v>
      </c>
      <c r="X330" s="23" t="n">
        <f aca="false">(W330-W329)/W329</f>
        <v>-0.00905218317358894</v>
      </c>
      <c r="Y330" s="0" t="n">
        <v>1.5205</v>
      </c>
      <c r="Z330" s="24" t="n">
        <f aca="false">(Y330-Y329)/Y329</f>
        <v>-0.00124802942722004</v>
      </c>
    </row>
    <row r="331" customFormat="false" ht="13.8" hidden="false" customHeight="false" outlineLevel="0" collapsed="false">
      <c r="A331" s="8" t="n">
        <v>39923</v>
      </c>
      <c r="B331" s="0" t="n">
        <v>34.55</v>
      </c>
      <c r="C331" s="9" t="n">
        <f aca="false">(B331-B330)/B330</f>
        <v>-0.0709868244151654</v>
      </c>
      <c r="D331" s="0" t="n">
        <v>36.82</v>
      </c>
      <c r="E331" s="9" t="n">
        <f aca="false">(D331-D330)/D330</f>
        <v>0.0848556275780791</v>
      </c>
      <c r="F331" s="0" t="n">
        <v>86.66</v>
      </c>
      <c r="G331" s="9" t="n">
        <f aca="false">(F331-F330)/F330</f>
        <v>-0.00482315112540195</v>
      </c>
      <c r="H331" s="0" t="n">
        <f aca="false">AVERAGE(F317:F330)</f>
        <v>80.8978571428571</v>
      </c>
      <c r="I331" s="0" t="n">
        <f aca="false">AVERAGE(F324:F330)</f>
        <v>80.0685714285714</v>
      </c>
      <c r="J331" s="0" t="n">
        <f aca="false">AVERAGE(F328:F330)</f>
        <v>85.7166666666667</v>
      </c>
      <c r="K331" s="10" t="n">
        <v>49.86</v>
      </c>
      <c r="L331" s="9" t="n">
        <f aca="false">(K331-K330)/K330</f>
        <v>-0.0118906064209275</v>
      </c>
      <c r="M331" s="10" t="n">
        <v>51.59</v>
      </c>
      <c r="N331" s="9" t="n">
        <f aca="false">(M331-M330)/M330</f>
        <v>0.00213675213675226</v>
      </c>
      <c r="O331" s="0" t="n">
        <v>0.65</v>
      </c>
      <c r="P331" s="9" t="n">
        <f aca="false">(O331-O330)/O330</f>
        <v>-0.121621621621622</v>
      </c>
      <c r="Q331" s="10" t="n">
        <v>1.24</v>
      </c>
      <c r="R331" s="9" t="n">
        <f aca="false">(Q331-Q330)/Q330</f>
        <v>0.180952380952381</v>
      </c>
      <c r="S331" s="10" t="n">
        <v>2.96</v>
      </c>
      <c r="T331" s="9" t="n">
        <f aca="false">(S331-S330)/S330</f>
        <v>0.0313588850174216</v>
      </c>
      <c r="U331" s="13" t="n">
        <v>2.83</v>
      </c>
      <c r="V331" s="9" t="n">
        <f aca="false">(U331-U330)/U330</f>
        <v>0.0404411764705884</v>
      </c>
      <c r="W331" s="0" t="n">
        <v>1.3247</v>
      </c>
      <c r="X331" s="23" t="n">
        <f aca="false">(W331-W330)/W330</f>
        <v>0.0168880018423275</v>
      </c>
      <c r="Y331" s="0" t="n">
        <v>1.509</v>
      </c>
      <c r="Z331" s="24" t="n">
        <f aca="false">(Y331-Y330)/Y330</f>
        <v>-0.00756330154554442</v>
      </c>
    </row>
    <row r="332" customFormat="false" ht="13.8" hidden="false" customHeight="false" outlineLevel="0" collapsed="false">
      <c r="A332" s="8" t="n">
        <v>39930</v>
      </c>
      <c r="B332" s="0" t="n">
        <v>32.13</v>
      </c>
      <c r="C332" s="9" t="n">
        <f aca="false">(B332-B331)/B331</f>
        <v>-0.0700434153400867</v>
      </c>
      <c r="D332" s="0" t="n">
        <v>35.3</v>
      </c>
      <c r="E332" s="9" t="n">
        <f aca="false">(D332-D331)/D331</f>
        <v>-0.0412819120043455</v>
      </c>
      <c r="F332" s="0" t="n">
        <v>87.89</v>
      </c>
      <c r="G332" s="9" t="n">
        <f aca="false">(F332-F331)/F331</f>
        <v>0.0141933994922687</v>
      </c>
      <c r="H332" s="0" t="n">
        <f aca="false">AVERAGE(F318:F331)</f>
        <v>81.0121428571429</v>
      </c>
      <c r="I332" s="0" t="n">
        <f aca="false">AVERAGE(F325:F331)</f>
        <v>82.6028571428572</v>
      </c>
      <c r="J332" s="0" t="n">
        <f aca="false">AVERAGE(F329:F331)</f>
        <v>86.5166666666667</v>
      </c>
      <c r="K332" s="10" t="n">
        <v>47.8</v>
      </c>
      <c r="L332" s="9" t="n">
        <f aca="false">(K332-K331)/K331</f>
        <v>-0.0413156839149619</v>
      </c>
      <c r="M332" s="10" t="n">
        <v>48.97</v>
      </c>
      <c r="N332" s="9" t="n">
        <f aca="false">(M332-M331)/M331</f>
        <v>-0.0507850358596628</v>
      </c>
      <c r="O332" s="0" t="n">
        <v>0.81</v>
      </c>
      <c r="P332" s="9" t="n">
        <f aca="false">(O332-O331)/O331</f>
        <v>0.246153846153846</v>
      </c>
      <c r="Q332" s="10" t="n">
        <v>1.17</v>
      </c>
      <c r="R332" s="9" t="n">
        <f aca="false">(Q332-Q331)/Q331</f>
        <v>-0.0564516129032259</v>
      </c>
      <c r="S332" s="10" t="n">
        <v>3.1</v>
      </c>
      <c r="T332" s="9" t="n">
        <f aca="false">(S332-S331)/S331</f>
        <v>0.0472972972972973</v>
      </c>
      <c r="U332" s="13" t="n">
        <v>2.97</v>
      </c>
      <c r="V332" s="9" t="n">
        <f aca="false">(U332-U331)/U331</f>
        <v>0.0494699646643108</v>
      </c>
      <c r="W332" s="0" t="n">
        <v>1.3267</v>
      </c>
      <c r="X332" s="23" t="n">
        <f aca="false">(W332-W331)/W331</f>
        <v>0.00150977579829395</v>
      </c>
      <c r="Y332" s="0" t="n">
        <v>1.5067</v>
      </c>
      <c r="Z332" s="24" t="n">
        <f aca="false">(Y332-Y331)/Y331</f>
        <v>-0.00152418820410866</v>
      </c>
    </row>
    <row r="333" customFormat="false" ht="13.8" hidden="false" customHeight="false" outlineLevel="0" collapsed="false">
      <c r="A333" s="8" t="n">
        <v>39937</v>
      </c>
      <c r="B333" s="0" t="n">
        <v>43.74</v>
      </c>
      <c r="C333" s="9" t="n">
        <f aca="false">(B333-B332)/B332</f>
        <v>0.361344537815126</v>
      </c>
      <c r="D333" s="0" t="n">
        <v>32.05</v>
      </c>
      <c r="E333" s="9" t="n">
        <f aca="false">(D333-D332)/D332</f>
        <v>-0.0920679886685552</v>
      </c>
      <c r="F333" s="0" t="n">
        <v>92.98</v>
      </c>
      <c r="G333" s="9" t="n">
        <f aca="false">(F333-F332)/F332</f>
        <v>0.0579133007168051</v>
      </c>
      <c r="H333" s="0" t="n">
        <f aca="false">AVERAGE(F319:F332)</f>
        <v>81.3535714285714</v>
      </c>
      <c r="I333" s="0" t="n">
        <f aca="false">AVERAGE(F326:F332)</f>
        <v>84.2885714285714</v>
      </c>
      <c r="J333" s="0" t="n">
        <f aca="false">AVERAGE(F330:F332)</f>
        <v>87.21</v>
      </c>
      <c r="K333" s="10" t="n">
        <v>50.2</v>
      </c>
      <c r="L333" s="9" t="n">
        <f aca="false">(K333-K332)/K332</f>
        <v>0.0502092050209206</v>
      </c>
      <c r="M333" s="10" t="n">
        <v>49.92</v>
      </c>
      <c r="N333" s="9" t="n">
        <f aca="false">(M333-M332)/M332</f>
        <v>0.0193996324280172</v>
      </c>
      <c r="O333" s="0" t="n">
        <v>0.95</v>
      </c>
      <c r="P333" s="9" t="n">
        <f aca="false">(O333-O332)/O332</f>
        <v>0.17283950617284</v>
      </c>
      <c r="Q333" s="10" t="n">
        <v>1.14</v>
      </c>
      <c r="R333" s="9" t="n">
        <f aca="false">(Q333-Q332)/Q332</f>
        <v>-0.0256410256410257</v>
      </c>
      <c r="S333" s="10" t="n">
        <v>3.23</v>
      </c>
      <c r="T333" s="9" t="n">
        <f aca="false">(S333-S332)/S332</f>
        <v>0.0419354838709677</v>
      </c>
      <c r="U333" s="13" t="n">
        <v>3.04</v>
      </c>
      <c r="V333" s="9" t="n">
        <f aca="false">(U333-U332)/U332</f>
        <v>0.0235690235690237</v>
      </c>
      <c r="W333" s="0" t="n">
        <v>1.3621</v>
      </c>
      <c r="X333" s="23" t="n">
        <f aca="false">(W333-W332)/W332</f>
        <v>0.0266827466646567</v>
      </c>
      <c r="Y333" s="0" t="n">
        <v>1.5072</v>
      </c>
      <c r="Z333" s="24" t="n">
        <f aca="false">(Y333-Y332)/Y332</f>
        <v>0.00033185106524203</v>
      </c>
    </row>
    <row r="334" customFormat="false" ht="13.8" hidden="false" customHeight="false" outlineLevel="0" collapsed="false">
      <c r="A334" s="8" t="n">
        <v>39944</v>
      </c>
      <c r="B334" s="0" t="n">
        <v>36.65</v>
      </c>
      <c r="C334" s="9" t="n">
        <f aca="false">(B334-B333)/B333</f>
        <v>-0.162094192958391</v>
      </c>
      <c r="D334" s="0" t="n">
        <v>33.12</v>
      </c>
      <c r="E334" s="9" t="n">
        <f aca="false">(D334-D333)/D333</f>
        <v>0.0333853354134165</v>
      </c>
      <c r="F334" s="0" t="n">
        <v>88.71</v>
      </c>
      <c r="G334" s="9" t="n">
        <f aca="false">(F334-F333)/F333</f>
        <v>-0.0459238545923856</v>
      </c>
      <c r="H334" s="0" t="n">
        <f aca="false">AVERAGE(F320:F333)</f>
        <v>82.0785714285714</v>
      </c>
      <c r="I334" s="0" t="n">
        <f aca="false">AVERAGE(F327:F333)</f>
        <v>86.6128571428571</v>
      </c>
      <c r="J334" s="0" t="n">
        <f aca="false">AVERAGE(F331:F333)</f>
        <v>89.1766666666667</v>
      </c>
      <c r="K334" s="10" t="n">
        <v>55.96</v>
      </c>
      <c r="L334" s="9" t="n">
        <f aca="false">(K334-K333)/K333</f>
        <v>0.114741035856574</v>
      </c>
      <c r="M334" s="10" t="n">
        <v>54.83</v>
      </c>
      <c r="N334" s="9" t="n">
        <f aca="false">(M334-M333)/M333</f>
        <v>0.0983573717948717</v>
      </c>
      <c r="O334" s="0" t="n">
        <v>0.99</v>
      </c>
      <c r="P334" s="9" t="n">
        <f aca="false">(O334-O333)/O333</f>
        <v>0.0421052631578944</v>
      </c>
      <c r="Q334" s="10" t="n">
        <v>1.02</v>
      </c>
      <c r="R334" s="9" t="n">
        <f aca="false">(Q334-Q333)/Q333</f>
        <v>-0.105263157894737</v>
      </c>
      <c r="S334" s="10" t="n">
        <v>3.14</v>
      </c>
      <c r="T334" s="9" t="n">
        <f aca="false">(S334-S333)/S333</f>
        <v>-0.0278637770897832</v>
      </c>
      <c r="U334" s="13" t="n">
        <v>2.96</v>
      </c>
      <c r="V334" s="9" t="n">
        <f aca="false">(U334-U333)/U333</f>
        <v>-0.0263157894736842</v>
      </c>
      <c r="W334" s="0" t="n">
        <v>1.3479</v>
      </c>
      <c r="X334" s="23" t="n">
        <f aca="false">(W334-W333)/W333</f>
        <v>-0.0104250789222524</v>
      </c>
      <c r="Y334" s="0" t="n">
        <v>1.514</v>
      </c>
      <c r="Z334" s="24" t="n">
        <f aca="false">(Y334-Y333)/Y333</f>
        <v>0.00451167728237787</v>
      </c>
    </row>
    <row r="335" customFormat="false" ht="13.8" hidden="false" customHeight="false" outlineLevel="0" collapsed="false">
      <c r="A335" s="8" t="n">
        <v>39951</v>
      </c>
      <c r="B335" s="0" t="n">
        <v>35.68</v>
      </c>
      <c r="C335" s="9" t="n">
        <f aca="false">(B335-B334)/B334</f>
        <v>-0.0264665757162346</v>
      </c>
      <c r="D335" s="0" t="n">
        <v>32.63</v>
      </c>
      <c r="E335" s="9" t="n">
        <f aca="false">(D335-D334)/D334</f>
        <v>-0.014794685990338</v>
      </c>
      <c r="F335" s="0" t="n">
        <v>89.02</v>
      </c>
      <c r="G335" s="9" t="n">
        <f aca="false">(F335-F334)/F334</f>
        <v>0.00349453274715367</v>
      </c>
      <c r="H335" s="0" t="n">
        <f aca="false">AVERAGE(F321:F334)</f>
        <v>82.2021428571428</v>
      </c>
      <c r="I335" s="0" t="n">
        <f aca="false">AVERAGE(F328:F334)</f>
        <v>87.6271428571429</v>
      </c>
      <c r="J335" s="0" t="n">
        <f aca="false">AVERAGE(F332:F334)</f>
        <v>89.86</v>
      </c>
      <c r="K335" s="10" t="n">
        <v>57.94</v>
      </c>
      <c r="L335" s="9" t="n">
        <f aca="false">(K335-K334)/K334</f>
        <v>0.0353824160114367</v>
      </c>
      <c r="M335" s="10" t="n">
        <v>56.39</v>
      </c>
      <c r="N335" s="9" t="n">
        <f aca="false">(M335-M334)/M334</f>
        <v>0.0284515776035018</v>
      </c>
      <c r="O335" s="0" t="n">
        <v>1.11</v>
      </c>
      <c r="P335" s="9" t="n">
        <f aca="false">(O335-O334)/O334</f>
        <v>0.121212121212121</v>
      </c>
      <c r="Q335" s="10" t="n">
        <v>1.02</v>
      </c>
      <c r="R335" s="9" t="n">
        <f aca="false">(Q335-Q334)/Q334</f>
        <v>0</v>
      </c>
      <c r="S335" s="10" t="n">
        <v>3.29</v>
      </c>
      <c r="T335" s="9" t="n">
        <f aca="false">(S335-S334)/S334</f>
        <v>0.0477707006369426</v>
      </c>
      <c r="U335" s="13" t="n">
        <v>3.11</v>
      </c>
      <c r="V335" s="9" t="n">
        <f aca="false">(U335-U334)/U334</f>
        <v>0.0506756756756756</v>
      </c>
      <c r="W335" s="0" t="n">
        <v>1.4011</v>
      </c>
      <c r="X335" s="23" t="n">
        <f aca="false">(W335-W334)/W334</f>
        <v>0.0394688033236886</v>
      </c>
      <c r="Y335" s="0" t="n">
        <v>1.5195</v>
      </c>
      <c r="Z335" s="24" t="n">
        <f aca="false">(Y335-Y334)/Y334</f>
        <v>0.00363276089828273</v>
      </c>
    </row>
    <row r="336" customFormat="false" ht="13.8" hidden="false" customHeight="false" outlineLevel="0" collapsed="false">
      <c r="A336" s="8" t="n">
        <v>39959</v>
      </c>
      <c r="B336" s="0" t="n">
        <v>37.42</v>
      </c>
      <c r="C336" s="9" t="n">
        <f aca="false">(B336-B335)/B335</f>
        <v>0.0487668161434978</v>
      </c>
      <c r="D336" s="0" t="n">
        <v>28.92</v>
      </c>
      <c r="E336" s="9" t="n">
        <f aca="false">(D336-D335)/D335</f>
        <v>-0.11369904995403</v>
      </c>
      <c r="F336" s="0" t="n">
        <v>92.53</v>
      </c>
      <c r="G336" s="9" t="n">
        <f aca="false">(F336-F335)/F335</f>
        <v>0.0394293417209616</v>
      </c>
      <c r="H336" s="0" t="n">
        <f aca="false">AVERAGE(F322:F335)</f>
        <v>82.6492857142857</v>
      </c>
      <c r="I336" s="0" t="n">
        <f aca="false">AVERAGE(F329:F335)</f>
        <v>88.3071428571429</v>
      </c>
      <c r="J336" s="0" t="n">
        <f aca="false">AVERAGE(F333:F335)</f>
        <v>90.2366666666667</v>
      </c>
      <c r="K336" s="10" t="n">
        <v>60.32</v>
      </c>
      <c r="L336" s="9" t="n">
        <f aca="false">(K336-K335)/K335</f>
        <v>0.0410769761822576</v>
      </c>
      <c r="M336" s="10" t="n">
        <v>57.89</v>
      </c>
      <c r="N336" s="9" t="n">
        <f aca="false">(M336-M335)/M335</f>
        <v>0.0266004610746586</v>
      </c>
      <c r="O336" s="0" t="n">
        <v>1.32</v>
      </c>
      <c r="P336" s="9" t="n">
        <f aca="false">(O336-O335)/O335</f>
        <v>0.189189189189189</v>
      </c>
      <c r="Q336" s="10" t="n">
        <v>1.06</v>
      </c>
      <c r="R336" s="9" t="n">
        <f aca="false">(Q336-Q335)/Q335</f>
        <v>0.0392156862745098</v>
      </c>
      <c r="S336" s="10" t="n">
        <v>3.59</v>
      </c>
      <c r="T336" s="9" t="n">
        <f aca="false">(S336-S335)/S335</f>
        <v>0.0911854103343464</v>
      </c>
      <c r="U336" s="13" t="n">
        <v>3.43</v>
      </c>
      <c r="V336" s="9" t="n">
        <f aca="false">(U336-U335)/U335</f>
        <v>0.102893890675241</v>
      </c>
      <c r="W336" s="0" t="n">
        <v>1.4135</v>
      </c>
      <c r="X336" s="23" t="n">
        <f aca="false">(W336-W335)/W335</f>
        <v>0.00885018913710654</v>
      </c>
      <c r="Y336" s="0" t="n">
        <v>1.509</v>
      </c>
      <c r="Z336" s="24" t="n">
        <f aca="false">(Y336-Y335)/Y335</f>
        <v>-0.00691016781836142</v>
      </c>
    </row>
    <row r="337" customFormat="false" ht="13.8" hidden="false" customHeight="false" outlineLevel="0" collapsed="false">
      <c r="A337" s="8" t="n">
        <v>39965</v>
      </c>
      <c r="B337" s="0" t="n">
        <v>37.07</v>
      </c>
      <c r="C337" s="9" t="n">
        <f aca="false">(B337-B336)/B336</f>
        <v>-0.00935328701229293</v>
      </c>
      <c r="D337" s="0" t="n">
        <v>29.62</v>
      </c>
      <c r="E337" s="9" t="n">
        <f aca="false">(D337-D336)/D336</f>
        <v>0.0242047026279391</v>
      </c>
      <c r="F337" s="0" t="n">
        <v>94.55</v>
      </c>
      <c r="G337" s="9" t="n">
        <f aca="false">(F337-F336)/F336</f>
        <v>0.0218307575921322</v>
      </c>
      <c r="H337" s="0" t="n">
        <f aca="false">AVERAGE(F323:F336)</f>
        <v>83.7285714285714</v>
      </c>
      <c r="I337" s="0" t="n">
        <f aca="false">AVERAGE(F330:F336)</f>
        <v>89.2671428571429</v>
      </c>
      <c r="J337" s="0" t="n">
        <f aca="false">AVERAGE(F334:F336)</f>
        <v>90.0866666666667</v>
      </c>
      <c r="K337" s="10" t="n">
        <v>64.32</v>
      </c>
      <c r="L337" s="9" t="n">
        <f aca="false">(K337-K336)/K336</f>
        <v>0.06631299734748</v>
      </c>
      <c r="M337" s="10" t="n">
        <v>62.2</v>
      </c>
      <c r="N337" s="9" t="n">
        <f aca="false">(M337-M336)/M336</f>
        <v>0.0744515460355848</v>
      </c>
      <c r="O337" s="0" t="n">
        <v>1.57</v>
      </c>
      <c r="P337" s="9" t="n">
        <f aca="false">(O337-O336)/O336</f>
        <v>0.18939393939394</v>
      </c>
      <c r="Q337" s="10" t="n">
        <v>1.01</v>
      </c>
      <c r="R337" s="9" t="n">
        <f aca="false">(Q337-Q336)/Q336</f>
        <v>-0.0471698113207548</v>
      </c>
      <c r="S337" s="10" t="n">
        <v>3.7</v>
      </c>
      <c r="T337" s="9" t="n">
        <f aca="false">(S337-S336)/S336</f>
        <v>0.030640668523677</v>
      </c>
      <c r="U337" s="13" t="n">
        <v>3.55</v>
      </c>
      <c r="V337" s="9" t="n">
        <f aca="false">(U337-U336)/U336</f>
        <v>0.0349854227405249</v>
      </c>
      <c r="W337" s="0" t="n">
        <v>1.3964</v>
      </c>
      <c r="X337" s="23" t="n">
        <f aca="false">(W337-W336)/W336</f>
        <v>-0.0120976299964626</v>
      </c>
      <c r="Y337" s="0" t="n">
        <v>1.5169</v>
      </c>
      <c r="Z337" s="24" t="n">
        <f aca="false">(Y337-Y336)/Y336</f>
        <v>0.00523525513585157</v>
      </c>
    </row>
    <row r="338" customFormat="false" ht="13.8" hidden="false" customHeight="false" outlineLevel="0" collapsed="false">
      <c r="A338" s="8" t="n">
        <v>39972</v>
      </c>
      <c r="B338" s="0" t="n">
        <v>38.62</v>
      </c>
      <c r="C338" s="9" t="n">
        <f aca="false">(B338-B337)/B337</f>
        <v>0.0418127866199082</v>
      </c>
      <c r="D338" s="0" t="n">
        <v>28.15</v>
      </c>
      <c r="E338" s="9" t="n">
        <f aca="false">(D338-D337)/D337</f>
        <v>-0.0496286293045241</v>
      </c>
      <c r="F338" s="0" t="n">
        <v>95.08</v>
      </c>
      <c r="G338" s="9" t="n">
        <f aca="false">(F338-F337)/F337</f>
        <v>0.00560549973558965</v>
      </c>
      <c r="H338" s="0" t="n">
        <f aca="false">AVERAGE(F324:F337)</f>
        <v>85.2014285714286</v>
      </c>
      <c r="I338" s="0" t="n">
        <f aca="false">AVERAGE(F331:F337)</f>
        <v>90.3342857142857</v>
      </c>
      <c r="J338" s="0" t="n">
        <f aca="false">AVERAGE(F335:F337)</f>
        <v>92.0333333333333</v>
      </c>
      <c r="K338" s="10" t="n">
        <v>68.11</v>
      </c>
      <c r="L338" s="9" t="n">
        <f aca="false">(K338-K337)/K337</f>
        <v>0.0589241293532339</v>
      </c>
      <c r="M338" s="10" t="n">
        <v>67.17</v>
      </c>
      <c r="N338" s="9" t="n">
        <f aca="false">(M338-M337)/M337</f>
        <v>0.0799035369774919</v>
      </c>
      <c r="O338" s="0" t="n">
        <v>1.75</v>
      </c>
      <c r="P338" s="9" t="n">
        <f aca="false">(O338-O337)/O337</f>
        <v>0.114649681528662</v>
      </c>
      <c r="Q338" s="10" t="n">
        <v>1.13</v>
      </c>
      <c r="R338" s="9" t="n">
        <f aca="false">(Q338-Q337)/Q337</f>
        <v>0.118811881188119</v>
      </c>
      <c r="S338" s="10" t="n">
        <v>3.89</v>
      </c>
      <c r="T338" s="9" t="n">
        <f aca="false">(S338-S337)/S337</f>
        <v>0.0513513513513513</v>
      </c>
      <c r="U338" s="13" t="n">
        <v>3.7</v>
      </c>
      <c r="V338" s="9" t="n">
        <f aca="false">(U338-U337)/U337</f>
        <v>0.0422535211267605</v>
      </c>
      <c r="W338" s="0" t="n">
        <v>1.401</v>
      </c>
      <c r="X338" s="23" t="n">
        <f aca="false">(W338-W337)/W337</f>
        <v>0.00329418504726435</v>
      </c>
      <c r="Y338" s="0" t="n">
        <v>1.512</v>
      </c>
      <c r="Z338" s="24" t="n">
        <f aca="false">(Y338-Y337)/Y337</f>
        <v>-0.0032302722658052</v>
      </c>
    </row>
    <row r="339" customFormat="false" ht="13.8" hidden="false" customHeight="false" outlineLevel="0" collapsed="false">
      <c r="A339" s="8" t="n">
        <v>39979</v>
      </c>
      <c r="B339" s="0" t="n">
        <v>37.32</v>
      </c>
      <c r="C339" s="9" t="n">
        <f aca="false">(B339-B338)/B338</f>
        <v>-0.0336613153806317</v>
      </c>
      <c r="D339" s="0" t="n">
        <v>27.99</v>
      </c>
      <c r="E339" s="9" t="n">
        <f aca="false">(D339-D338)/D338</f>
        <v>-0.00568383658969805</v>
      </c>
      <c r="F339" s="0" t="n">
        <v>92.04</v>
      </c>
      <c r="G339" s="9" t="n">
        <f aca="false">(F339-F338)/F338</f>
        <v>-0.0319730753050062</v>
      </c>
      <c r="H339" s="0" t="n">
        <f aca="false">AVERAGE(F325:F338)</f>
        <v>87.07</v>
      </c>
      <c r="I339" s="0" t="n">
        <f aca="false">AVERAGE(F332:F338)</f>
        <v>91.5371428571429</v>
      </c>
      <c r="J339" s="0" t="n">
        <f aca="false">AVERAGE(F336:F338)</f>
        <v>94.0533333333333</v>
      </c>
      <c r="K339" s="10" t="n">
        <v>70.85</v>
      </c>
      <c r="L339" s="9" t="n">
        <f aca="false">(K339-K338)/K338</f>
        <v>0.0402290412567904</v>
      </c>
      <c r="M339" s="10" t="n">
        <v>69.88</v>
      </c>
      <c r="N339" s="9" t="n">
        <f aca="false">(M339-M338)/M338</f>
        <v>0.0403453922882238</v>
      </c>
      <c r="O339" s="0" t="n">
        <v>1.52</v>
      </c>
      <c r="P339" s="9" t="n">
        <f aca="false">(O339-O338)/O338</f>
        <v>-0.131428571428572</v>
      </c>
      <c r="Q339" s="10" t="n">
        <v>1.24</v>
      </c>
      <c r="R339" s="9" t="n">
        <f aca="false">(Q339-Q338)/Q338</f>
        <v>0.0973451327433629</v>
      </c>
      <c r="S339" s="10" t="n">
        <v>3.75</v>
      </c>
      <c r="T339" s="9" t="n">
        <f aca="false">(S339-S338)/S338</f>
        <v>-0.0359897172236504</v>
      </c>
      <c r="U339" s="13" t="n">
        <v>3.58</v>
      </c>
      <c r="V339" s="9" t="n">
        <f aca="false">(U339-U338)/U338</f>
        <v>-0.0324324324324325</v>
      </c>
      <c r="W339" s="0" t="n">
        <v>1.3955</v>
      </c>
      <c r="X339" s="23" t="n">
        <f aca="false">(W339-W338)/W338</f>
        <v>-0.003925767309065</v>
      </c>
      <c r="Y339" s="0" t="n">
        <v>1.507</v>
      </c>
      <c r="Z339" s="24" t="n">
        <f aca="false">(Y339-Y338)/Y338</f>
        <v>-0.00330687830687838</v>
      </c>
    </row>
    <row r="340" customFormat="false" ht="13.8" hidden="false" customHeight="false" outlineLevel="0" collapsed="false">
      <c r="A340" s="8" t="n">
        <v>39986</v>
      </c>
      <c r="B340" s="0" t="n">
        <v>36.41</v>
      </c>
      <c r="C340" s="9" t="n">
        <f aca="false">(B340-B339)/B339</f>
        <v>-0.0243837084673099</v>
      </c>
      <c r="D340" s="0" t="n">
        <v>25.93</v>
      </c>
      <c r="E340" s="9" t="n">
        <f aca="false">(D340-D339)/D339</f>
        <v>-0.0735977134690961</v>
      </c>
      <c r="F340" s="0" t="n">
        <v>91.84</v>
      </c>
      <c r="G340" s="9" t="n">
        <f aca="false">(F340-F339)/F339</f>
        <v>-0.00217296827466322</v>
      </c>
      <c r="H340" s="0" t="n">
        <f aca="false">AVERAGE(F326:F339)</f>
        <v>88.2092857142857</v>
      </c>
      <c r="I340" s="0" t="n">
        <f aca="false">AVERAGE(F333:F339)</f>
        <v>92.13</v>
      </c>
      <c r="J340" s="0" t="n">
        <f aca="false">AVERAGE(F337:F339)</f>
        <v>93.89</v>
      </c>
      <c r="K340" s="10" t="n">
        <v>70.62</v>
      </c>
      <c r="L340" s="9" t="n">
        <f aca="false">(K340-K339)/K339</f>
        <v>-0.00324629498941411</v>
      </c>
      <c r="M340" s="10" t="n">
        <v>69.68</v>
      </c>
      <c r="N340" s="9" t="n">
        <f aca="false">(M340-M339)/M339</f>
        <v>-0.00286204922724655</v>
      </c>
      <c r="O340" s="0" t="n">
        <v>1.35</v>
      </c>
      <c r="P340" s="9" t="n">
        <f aca="false">(O340-O339)/O339</f>
        <v>-0.111842105263158</v>
      </c>
      <c r="Q340" s="10" t="n">
        <v>1.31</v>
      </c>
      <c r="R340" s="9" t="n">
        <f aca="false">(Q340-Q339)/Q339</f>
        <v>0.0564516129032259</v>
      </c>
      <c r="S340" s="10" t="n">
        <v>3.63</v>
      </c>
      <c r="T340" s="9" t="n">
        <f aca="false">(S340-S339)/S339</f>
        <v>-0.032</v>
      </c>
      <c r="U340" s="13" t="n">
        <v>3.44</v>
      </c>
      <c r="V340" s="9" t="n">
        <f aca="false">(U340-U339)/U339</f>
        <v>-0.0391061452513967</v>
      </c>
      <c r="W340" s="0" t="n">
        <v>1.4077</v>
      </c>
      <c r="X340" s="23" t="n">
        <f aca="false">(W340-W339)/W339</f>
        <v>0.0087423862414905</v>
      </c>
      <c r="Y340" s="0" t="n">
        <v>1.5227</v>
      </c>
      <c r="Z340" s="24" t="n">
        <f aca="false">(Y340-Y339)/Y339</f>
        <v>0.0104180491041805</v>
      </c>
    </row>
    <row r="341" customFormat="false" ht="13.8" hidden="false" customHeight="false" outlineLevel="0" collapsed="false">
      <c r="A341" s="8" t="n">
        <v>39993</v>
      </c>
      <c r="B341" s="0" t="n">
        <v>35.1</v>
      </c>
      <c r="C341" s="9" t="n">
        <f aca="false">(B341-B340)/B340</f>
        <v>-0.0359791266135676</v>
      </c>
      <c r="D341" s="0" t="n">
        <v>27.95</v>
      </c>
      <c r="E341" s="9" t="n">
        <f aca="false">(D341-D340)/D340</f>
        <v>0.0779020439645198</v>
      </c>
      <c r="F341" s="0" t="n">
        <v>89.81</v>
      </c>
      <c r="G341" s="9" t="n">
        <f aca="false">(F341-F340)/F340</f>
        <v>-0.0221036585365854</v>
      </c>
      <c r="H341" s="0" t="n">
        <f aca="false">AVERAGE(F327:F340)</f>
        <v>89.29</v>
      </c>
      <c r="I341" s="0" t="n">
        <f aca="false">AVERAGE(F334:F340)</f>
        <v>91.9671428571429</v>
      </c>
      <c r="J341" s="0" t="n">
        <f aca="false">AVERAGE(F338:F340)</f>
        <v>92.9866666666667</v>
      </c>
      <c r="K341" s="10" t="n">
        <v>68.58</v>
      </c>
      <c r="L341" s="9" t="n">
        <f aca="false">(K341-K340)/K340</f>
        <v>-0.0288870008496178</v>
      </c>
      <c r="M341" s="10" t="n">
        <v>67.58</v>
      </c>
      <c r="N341" s="9" t="n">
        <f aca="false">(M341-M340)/M340</f>
        <v>-0.0301377726750862</v>
      </c>
      <c r="O341" s="0" t="n">
        <v>1.29</v>
      </c>
      <c r="P341" s="9" t="n">
        <f aca="false">(O341-O340)/O340</f>
        <v>-0.0444444444444445</v>
      </c>
      <c r="Q341" s="10" t="n">
        <v>1.21</v>
      </c>
      <c r="R341" s="9" t="n">
        <f aca="false">(Q341-Q340)/Q340</f>
        <v>-0.0763358778625955</v>
      </c>
      <c r="S341" s="10" t="n">
        <v>3.53</v>
      </c>
      <c r="T341" s="9" t="n">
        <f aca="false">(S341-S340)/S340</f>
        <v>-0.0275482093663911</v>
      </c>
      <c r="U341" s="13" t="n">
        <v>3.35</v>
      </c>
      <c r="V341" s="9" t="n">
        <f aca="false">(U341-U340)/U340</f>
        <v>-0.0261627906976745</v>
      </c>
      <c r="W341" s="0" t="n">
        <v>1.3975</v>
      </c>
      <c r="X341" s="23" t="n">
        <f aca="false">(W341-W340)/W340</f>
        <v>-0.00724586204446969</v>
      </c>
      <c r="Y341" s="0" t="n">
        <v>1.5189</v>
      </c>
      <c r="Z341" s="24" t="n">
        <f aca="false">(Y341-Y340)/Y340</f>
        <v>-0.00249556708478362</v>
      </c>
    </row>
    <row r="342" customFormat="false" ht="13.8" hidden="false" customHeight="false" outlineLevel="0" collapsed="false">
      <c r="A342" s="8" t="n">
        <v>40000</v>
      </c>
      <c r="B342" s="0" t="n">
        <v>34.28</v>
      </c>
      <c r="C342" s="9" t="n">
        <f aca="false">(B342-B341)/B341</f>
        <v>-0.0233618233618234</v>
      </c>
      <c r="D342" s="0" t="n">
        <v>29.02</v>
      </c>
      <c r="E342" s="9" t="n">
        <f aca="false">(D342-D341)/D341</f>
        <v>0.0382826475849732</v>
      </c>
      <c r="F342" s="0" t="n">
        <v>87.96</v>
      </c>
      <c r="G342" s="9" t="n">
        <f aca="false">(F342-F341)/F341</f>
        <v>-0.0205990424228929</v>
      </c>
      <c r="H342" s="0" t="n">
        <f aca="false">AVERAGE(F328:F341)</f>
        <v>89.8757142857143</v>
      </c>
      <c r="I342" s="0" t="n">
        <f aca="false">AVERAGE(F335:F341)</f>
        <v>92.1242857142857</v>
      </c>
      <c r="J342" s="0" t="n">
        <f aca="false">AVERAGE(F339:F341)</f>
        <v>91.23</v>
      </c>
      <c r="K342" s="10" t="n">
        <v>69.32</v>
      </c>
      <c r="L342" s="9" t="n">
        <f aca="false">(K342-K341)/K341</f>
        <v>0.010790317876932</v>
      </c>
      <c r="M342" s="10" t="n">
        <v>68.03</v>
      </c>
      <c r="N342" s="9" t="n">
        <f aca="false">(M342-M341)/M341</f>
        <v>0.00665877478543952</v>
      </c>
      <c r="O342" s="0" t="n">
        <v>1.15</v>
      </c>
      <c r="P342" s="9" t="n">
        <f aca="false">(O342-O341)/O341</f>
        <v>-0.108527131782946</v>
      </c>
      <c r="Q342" s="10" t="n">
        <v>1.16</v>
      </c>
      <c r="R342" s="9" t="n">
        <f aca="false">(Q342-Q341)/Q341</f>
        <v>-0.0413223140495868</v>
      </c>
      <c r="S342" s="10" t="n">
        <v>3.42</v>
      </c>
      <c r="T342" s="9" t="n">
        <f aca="false">(S342-S341)/S341</f>
        <v>-0.0311614730878188</v>
      </c>
      <c r="U342" s="13" t="n">
        <v>3.23</v>
      </c>
      <c r="V342" s="9" t="n">
        <f aca="false">(U342-U341)/U341</f>
        <v>-0.035820895522388</v>
      </c>
      <c r="W342" s="0" t="n">
        <v>1.3949</v>
      </c>
      <c r="X342" s="23" t="n">
        <f aca="false">(W342-W341)/W341</f>
        <v>-0.00186046511627902</v>
      </c>
      <c r="Y342" s="0" t="n">
        <v>1.5127</v>
      </c>
      <c r="Z342" s="24" t="n">
        <f aca="false">(Y342-Y341)/Y341</f>
        <v>-0.00408190137599578</v>
      </c>
    </row>
    <row r="343" customFormat="false" ht="13.8" hidden="false" customHeight="false" outlineLevel="0" collapsed="false">
      <c r="A343" s="8" t="n">
        <v>40007</v>
      </c>
      <c r="B343" s="0" t="n">
        <v>37.08</v>
      </c>
      <c r="C343" s="9" t="n">
        <f aca="false">(B343-B342)/B342</f>
        <v>0.0816802800466744</v>
      </c>
      <c r="D343" s="0" t="n">
        <v>24.34</v>
      </c>
      <c r="E343" s="9" t="n">
        <f aca="false">(D343-D342)/D342</f>
        <v>-0.161268090971744</v>
      </c>
      <c r="F343" s="0" t="n">
        <v>94.13</v>
      </c>
      <c r="G343" s="9" t="n">
        <f aca="false">(F343-F342)/F342</f>
        <v>0.0701455206912233</v>
      </c>
      <c r="H343" s="0" t="n">
        <f aca="false">AVERAGE(F329:F342)</f>
        <v>90.14</v>
      </c>
      <c r="I343" s="0" t="n">
        <f aca="false">AVERAGE(F336:F342)</f>
        <v>91.9728571428571</v>
      </c>
      <c r="J343" s="0" t="n">
        <f aca="false">AVERAGE(F340:F342)</f>
        <v>89.87</v>
      </c>
      <c r="K343" s="10" t="n">
        <v>61.48</v>
      </c>
      <c r="L343" s="9" t="n">
        <f aca="false">(K343-K342)/K342</f>
        <v>-0.113098672821696</v>
      </c>
      <c r="M343" s="10" t="n">
        <v>60.39</v>
      </c>
      <c r="N343" s="9" t="n">
        <f aca="false">(M343-M342)/M342</f>
        <v>-0.112303395560782</v>
      </c>
      <c r="O343" s="0" t="n">
        <v>1.23</v>
      </c>
      <c r="P343" s="9" t="n">
        <f aca="false">(O343-O342)/O342</f>
        <v>0.0695652173913044</v>
      </c>
      <c r="Q343" s="10" t="n">
        <v>1.2</v>
      </c>
      <c r="R343" s="9" t="n">
        <f aca="false">(Q343-Q342)/Q342</f>
        <v>0.0344827586206897</v>
      </c>
      <c r="S343" s="10" t="n">
        <v>3.55</v>
      </c>
      <c r="T343" s="9" t="n">
        <f aca="false">(S343-S342)/S342</f>
        <v>0.0380116959064327</v>
      </c>
      <c r="U343" s="13" t="n">
        <v>3.37</v>
      </c>
      <c r="V343" s="9" t="n">
        <f aca="false">(U343-U342)/U342</f>
        <v>0.0433436532507739</v>
      </c>
      <c r="W343" s="0" t="n">
        <v>1.4138</v>
      </c>
      <c r="X343" s="23" t="n">
        <f aca="false">(W343-W342)/W342</f>
        <v>0.0135493583769445</v>
      </c>
      <c r="Y343" s="0" t="n">
        <v>1.5194</v>
      </c>
      <c r="Z343" s="24" t="n">
        <f aca="false">(Y343-Y342)/Y342</f>
        <v>0.0044291663912211</v>
      </c>
    </row>
    <row r="344" customFormat="false" ht="13.8" hidden="false" customHeight="false" outlineLevel="0" collapsed="false">
      <c r="A344" s="8" t="n">
        <v>40014</v>
      </c>
      <c r="B344" s="0" t="n">
        <v>37.32</v>
      </c>
      <c r="C344" s="9" t="n">
        <f aca="false">(B344-B343)/B343</f>
        <v>0.00647249190938517</v>
      </c>
      <c r="D344" s="0" t="n">
        <v>23.09</v>
      </c>
      <c r="E344" s="9" t="n">
        <f aca="false">(D344-D343)/D343</f>
        <v>-0.0513557929334429</v>
      </c>
      <c r="F344" s="0" t="n">
        <v>98.06</v>
      </c>
      <c r="G344" s="9" t="n">
        <f aca="false">(F344-F343)/F343</f>
        <v>0.0417507702114098</v>
      </c>
      <c r="H344" s="0" t="n">
        <f aca="false">AVERAGE(F330:F343)</f>
        <v>90.7342857142857</v>
      </c>
      <c r="I344" s="0" t="n">
        <f aca="false">AVERAGE(F337:F343)</f>
        <v>92.2014285714286</v>
      </c>
      <c r="J344" s="0" t="n">
        <f aca="false">AVERAGE(F341:F343)</f>
        <v>90.6333333333333</v>
      </c>
      <c r="K344" s="10" t="n">
        <v>61.29</v>
      </c>
      <c r="L344" s="9" t="n">
        <f aca="false">(K344-K343)/K343</f>
        <v>-0.00309043591411838</v>
      </c>
      <c r="M344" s="10" t="n">
        <v>61.11</v>
      </c>
      <c r="N344" s="9" t="n">
        <f aca="false">(M344-M343)/M343</f>
        <v>0.0119225037257824</v>
      </c>
      <c r="O344" s="0" t="n">
        <v>1.37</v>
      </c>
      <c r="P344" s="9" t="n">
        <f aca="false">(O344-O343)/O343</f>
        <v>0.113821138211382</v>
      </c>
      <c r="Q344" s="10" t="n">
        <v>1.11</v>
      </c>
      <c r="R344" s="9" t="n">
        <f aca="false">(Q344-Q343)/Q343</f>
        <v>-0.0749999999999999</v>
      </c>
      <c r="S344" s="10" t="n">
        <v>3.62</v>
      </c>
      <c r="T344" s="9" t="n">
        <f aca="false">(S344-S343)/S343</f>
        <v>0.019718309859155</v>
      </c>
      <c r="U344" s="13" t="n">
        <v>3.43</v>
      </c>
      <c r="V344" s="9" t="n">
        <f aca="false">(U344-U343)/U343</f>
        <v>0.0178041543026708</v>
      </c>
      <c r="W344" s="0" t="n">
        <v>1.421</v>
      </c>
      <c r="X344" s="23" t="n">
        <f aca="false">(W344-W343)/W343</f>
        <v>0.00509265808459478</v>
      </c>
      <c r="Y344" s="0" t="n">
        <v>1.5225</v>
      </c>
      <c r="Z344" s="24" t="n">
        <f aca="false">(Y344-Y343)/Y343</f>
        <v>0.00204027905752263</v>
      </c>
    </row>
    <row r="345" customFormat="false" ht="13.8" hidden="false" customHeight="false" outlineLevel="0" collapsed="false">
      <c r="A345" s="8" t="n">
        <v>40021</v>
      </c>
      <c r="B345" s="0" t="n">
        <v>40.44</v>
      </c>
      <c r="C345" s="9" t="n">
        <f aca="false">(B345-B344)/B344</f>
        <v>0.0836012861736334</v>
      </c>
      <c r="D345" s="0" t="n">
        <v>25.92</v>
      </c>
      <c r="E345" s="9" t="n">
        <f aca="false">(D345-D344)/D344</f>
        <v>0.122563880467735</v>
      </c>
      <c r="F345" s="0" t="n">
        <v>98.81</v>
      </c>
      <c r="G345" s="9" t="n">
        <f aca="false">(F345-F344)/F344</f>
        <v>0.00764837854374872</v>
      </c>
      <c r="H345" s="0" t="n">
        <f aca="false">AVERAGE(F331:F344)</f>
        <v>91.5185714285714</v>
      </c>
      <c r="I345" s="0" t="n">
        <f aca="false">AVERAGE(F338:F344)</f>
        <v>92.7028571428571</v>
      </c>
      <c r="J345" s="0" t="n">
        <f aca="false">AVERAGE(F342:F344)</f>
        <v>93.3833333333333</v>
      </c>
      <c r="K345" s="10" t="n">
        <v>65.28</v>
      </c>
      <c r="L345" s="9" t="n">
        <f aca="false">(K345-K344)/K344</f>
        <v>0.0651003426333823</v>
      </c>
      <c r="M345" s="10" t="n">
        <v>66.56</v>
      </c>
      <c r="N345" s="9" t="n">
        <f aca="false">(M345-M344)/M344</f>
        <v>0.0891834396989037</v>
      </c>
      <c r="O345" s="0" t="n">
        <v>1.38</v>
      </c>
      <c r="P345" s="9" t="n">
        <f aca="false">(O345-O344)/O344</f>
        <v>0.00729927007299271</v>
      </c>
      <c r="Q345" s="10" t="n">
        <v>1.25</v>
      </c>
      <c r="R345" s="9" t="n">
        <f aca="false">(Q345-Q344)/Q344</f>
        <v>0.126126126126126</v>
      </c>
      <c r="S345" s="10" t="n">
        <v>3.67</v>
      </c>
      <c r="T345" s="9" t="n">
        <f aca="false">(S345-S344)/S344</f>
        <v>0.0138121546961325</v>
      </c>
      <c r="U345" s="13" t="n">
        <v>3.48</v>
      </c>
      <c r="V345" s="9" t="n">
        <f aca="false">(U345-U344)/U344</f>
        <v>0.0145772594752186</v>
      </c>
      <c r="W345" s="0" t="n">
        <v>1.4253</v>
      </c>
      <c r="X345" s="23" t="n">
        <f aca="false">(W345-W344)/W344</f>
        <v>0.00302603800140744</v>
      </c>
      <c r="Y345" s="0" t="n">
        <v>1.5333</v>
      </c>
      <c r="Z345" s="24" t="n">
        <f aca="false">(Y345-Y344)/Y344</f>
        <v>0.00709359605911339</v>
      </c>
    </row>
    <row r="346" customFormat="false" ht="13.8" hidden="false" customHeight="false" outlineLevel="0" collapsed="false">
      <c r="A346" s="8" t="n">
        <v>40028</v>
      </c>
      <c r="B346" s="0" t="n">
        <v>45.45</v>
      </c>
      <c r="C346" s="9" t="n">
        <f aca="false">(B346-B345)/B345</f>
        <v>0.123887240356083</v>
      </c>
      <c r="D346" s="0" t="n">
        <v>24.76</v>
      </c>
      <c r="E346" s="9" t="n">
        <f aca="false">(D346-D345)/D345</f>
        <v>-0.0447530864197531</v>
      </c>
      <c r="F346" s="0" t="n">
        <v>101.2</v>
      </c>
      <c r="G346" s="9" t="n">
        <f aca="false">(F346-F345)/F345</f>
        <v>0.0241878352393483</v>
      </c>
      <c r="H346" s="0" t="n">
        <f aca="false">AVERAGE(F332:F345)</f>
        <v>92.3864285714286</v>
      </c>
      <c r="I346" s="0" t="n">
        <f aca="false">AVERAGE(F339:F345)</f>
        <v>93.2357142857143</v>
      </c>
      <c r="J346" s="0" t="n">
        <f aca="false">AVERAGE(F343:F345)</f>
        <v>97</v>
      </c>
      <c r="K346" s="10" t="n">
        <v>67.03</v>
      </c>
      <c r="L346" s="9" t="n">
        <f aca="false">(K346-K345)/K345</f>
        <v>0.0268075980392157</v>
      </c>
      <c r="M346" s="10" t="n">
        <v>68.6</v>
      </c>
      <c r="N346" s="9" t="n">
        <f aca="false">(M346-M345)/M345</f>
        <v>0.0306490384615383</v>
      </c>
      <c r="O346" s="0" t="n">
        <v>1.42</v>
      </c>
      <c r="P346" s="9" t="n">
        <f aca="false">(O346-O345)/O345</f>
        <v>0.0289855072463768</v>
      </c>
      <c r="Q346" s="10" t="n">
        <v>1.31</v>
      </c>
      <c r="R346" s="9" t="n">
        <f aca="false">(Q346-Q345)/Q345</f>
        <v>0.048</v>
      </c>
      <c r="S346" s="10" t="n">
        <v>3.77</v>
      </c>
      <c r="T346" s="9" t="n">
        <f aca="false">(S346-S345)/S345</f>
        <v>0.0272479564032698</v>
      </c>
      <c r="U346" s="13" t="n">
        <v>3.59</v>
      </c>
      <c r="V346" s="9" t="n">
        <f aca="false">(U346-U345)/U345</f>
        <v>0.0316091954022988</v>
      </c>
      <c r="W346" s="0" t="n">
        <v>1.4169</v>
      </c>
      <c r="X346" s="23" t="n">
        <f aca="false">(W346-W345)/W345</f>
        <v>-0.0058934961060829</v>
      </c>
      <c r="Y346" s="0" t="n">
        <v>1.5342</v>
      </c>
      <c r="Z346" s="24" t="n">
        <f aca="false">(Y346-Y345)/Y345</f>
        <v>0.000586969281940847</v>
      </c>
    </row>
    <row r="347" customFormat="false" ht="13.8" hidden="false" customHeight="false" outlineLevel="0" collapsed="false">
      <c r="A347" s="8" t="n">
        <v>40035</v>
      </c>
      <c r="B347" s="0" t="n">
        <v>45.82</v>
      </c>
      <c r="C347" s="9" t="n">
        <f aca="false">(B347-B346)/B346</f>
        <v>0.00814081408140808</v>
      </c>
      <c r="D347" s="0" t="n">
        <v>24.27</v>
      </c>
      <c r="E347" s="9" t="n">
        <f aca="false">(D347-D346)/D346</f>
        <v>-0.0197899838449112</v>
      </c>
      <c r="F347" s="0" t="n">
        <v>100.79</v>
      </c>
      <c r="G347" s="9" t="n">
        <f aca="false">(F347-F346)/F346</f>
        <v>-0.00405138339920945</v>
      </c>
      <c r="H347" s="0" t="n">
        <f aca="false">AVERAGE(F333:F346)</f>
        <v>93.3371428571429</v>
      </c>
      <c r="I347" s="0" t="n">
        <f aca="false">AVERAGE(F340:F346)</f>
        <v>94.5442857142857</v>
      </c>
      <c r="J347" s="0" t="n">
        <f aca="false">AVERAGE(F344:F346)</f>
        <v>99.3566666666667</v>
      </c>
      <c r="K347" s="10" t="n">
        <v>71.58</v>
      </c>
      <c r="L347" s="9" t="n">
        <f aca="false">(K347-K346)/K346</f>
        <v>0.0678800537072952</v>
      </c>
      <c r="M347" s="10" t="n">
        <v>73.99</v>
      </c>
      <c r="N347" s="9" t="n">
        <f aca="false">(M347-M346)/M346</f>
        <v>0.0785714285714286</v>
      </c>
      <c r="O347" s="0" t="n">
        <v>1.3</v>
      </c>
      <c r="P347" s="9" t="n">
        <f aca="false">(O347-O346)/O346</f>
        <v>-0.0845070422535212</v>
      </c>
      <c r="Q347" s="10" t="n">
        <v>1.35</v>
      </c>
      <c r="R347" s="9" t="n">
        <f aca="false">(Q347-Q346)/Q346</f>
        <v>0.0305343511450382</v>
      </c>
      <c r="S347" s="10" t="n">
        <v>3.67</v>
      </c>
      <c r="T347" s="9" t="n">
        <f aca="false">(S347-S346)/S346</f>
        <v>-0.0265251989389921</v>
      </c>
      <c r="U347" s="13" t="n">
        <v>3.49</v>
      </c>
      <c r="V347" s="9" t="n">
        <f aca="false">(U347-U346)/U346</f>
        <v>-0.0278551532033426</v>
      </c>
      <c r="W347" s="0" t="n">
        <v>1.4174</v>
      </c>
      <c r="X347" s="23" t="n">
        <f aca="false">(W347-W346)/W346</f>
        <v>0.000352883054555681</v>
      </c>
      <c r="Y347" s="0" t="n">
        <v>1.5231</v>
      </c>
      <c r="Z347" s="24" t="n">
        <f aca="false">(Y347-Y346)/Y346</f>
        <v>-0.00723504106374665</v>
      </c>
    </row>
    <row r="348" customFormat="false" ht="13.8" hidden="false" customHeight="false" outlineLevel="0" collapsed="false">
      <c r="A348" s="8" t="n">
        <v>40042</v>
      </c>
      <c r="B348" s="0" t="n">
        <v>47.12</v>
      </c>
      <c r="C348" s="9" t="n">
        <f aca="false">(B348-B347)/B347</f>
        <v>0.0283718900043648</v>
      </c>
      <c r="D348" s="0" t="n">
        <v>25.01</v>
      </c>
      <c r="E348" s="9" t="n">
        <f aca="false">(D348-D347)/D347</f>
        <v>0.0304903172641122</v>
      </c>
      <c r="F348" s="0" t="n">
        <v>102.97</v>
      </c>
      <c r="G348" s="9" t="n">
        <f aca="false">(F348-F347)/F347</f>
        <v>0.0216291298739954</v>
      </c>
      <c r="H348" s="0" t="n">
        <f aca="false">AVERAGE(F334:F347)</f>
        <v>93.895</v>
      </c>
      <c r="I348" s="0" t="n">
        <f aca="false">AVERAGE(F341:F347)</f>
        <v>95.8228571428571</v>
      </c>
      <c r="J348" s="0" t="n">
        <f aca="false">AVERAGE(F345:F347)</f>
        <v>100.266666666667</v>
      </c>
      <c r="K348" s="10" t="n">
        <v>69.64</v>
      </c>
      <c r="L348" s="9" t="n">
        <f aca="false">(K348-K347)/K347</f>
        <v>-0.0271025426096675</v>
      </c>
      <c r="M348" s="10" t="n">
        <v>72.9</v>
      </c>
      <c r="N348" s="9" t="n">
        <f aca="false">(M348-M347)/M347</f>
        <v>-0.0147317205027705</v>
      </c>
      <c r="O348" s="0" t="n">
        <v>1.22</v>
      </c>
      <c r="P348" s="9" t="n">
        <f aca="false">(O348-O347)/O347</f>
        <v>-0.0615384615384613</v>
      </c>
      <c r="Q348" s="10" t="n">
        <v>1.25</v>
      </c>
      <c r="R348" s="9" t="n">
        <f aca="false">(Q348-Q347)/Q347</f>
        <v>-0.0740740740740741</v>
      </c>
      <c r="S348" s="10" t="n">
        <v>3.48</v>
      </c>
      <c r="T348" s="9" t="n">
        <f aca="false">(S348-S347)/S347</f>
        <v>-0.0517711171662125</v>
      </c>
      <c r="U348" s="13" t="n">
        <v>3.31</v>
      </c>
      <c r="V348" s="9" t="n">
        <f aca="false">(U348-U347)/U347</f>
        <v>-0.0515759312320916</v>
      </c>
      <c r="W348" s="0" t="n">
        <v>1.4346</v>
      </c>
      <c r="X348" s="23" t="n">
        <f aca="false">(W348-W347)/W347</f>
        <v>0.0121348948779456</v>
      </c>
      <c r="Y348" s="0" t="n">
        <v>1.516</v>
      </c>
      <c r="Z348" s="24" t="n">
        <f aca="false">(Y348-Y347)/Y347</f>
        <v>-0.00466154553213833</v>
      </c>
    </row>
    <row r="349" customFormat="false" ht="13.8" hidden="false" customHeight="false" outlineLevel="0" collapsed="false">
      <c r="A349" s="8" t="n">
        <v>40049</v>
      </c>
      <c r="B349" s="0" t="n">
        <v>47.52</v>
      </c>
      <c r="C349" s="9" t="n">
        <f aca="false">(B349-B348)/B348</f>
        <v>0.00848896434634987</v>
      </c>
      <c r="D349" s="0" t="n">
        <v>24.76</v>
      </c>
      <c r="E349" s="9" t="n">
        <f aca="false">(D349-D348)/D348</f>
        <v>-0.00999600159936026</v>
      </c>
      <c r="F349" s="0" t="n">
        <v>103.38</v>
      </c>
      <c r="G349" s="9" t="n">
        <f aca="false">(F349-F348)/F348</f>
        <v>0.0039817422550257</v>
      </c>
      <c r="H349" s="0" t="n">
        <f aca="false">AVERAGE(F335:F348)</f>
        <v>94.9135714285714</v>
      </c>
      <c r="I349" s="0" t="n">
        <f aca="false">AVERAGE(F342:F348)</f>
        <v>97.7028571428572</v>
      </c>
      <c r="J349" s="0" t="n">
        <f aca="false">AVERAGE(F346:F348)</f>
        <v>101.653333333333</v>
      </c>
      <c r="K349" s="10" t="n">
        <v>70.8</v>
      </c>
      <c r="L349" s="9" t="n">
        <f aca="false">(K349-K348)/K348</f>
        <v>0.0166570936243538</v>
      </c>
      <c r="M349" s="10" t="n">
        <v>71.52</v>
      </c>
      <c r="N349" s="9" t="n">
        <f aca="false">(M349-M348)/M348</f>
        <v>-0.0189300411522635</v>
      </c>
      <c r="O349" s="0" t="n">
        <v>1.22</v>
      </c>
      <c r="P349" s="9" t="n">
        <f aca="false">(O349-O348)/O348</f>
        <v>0</v>
      </c>
      <c r="Q349" s="10" t="n">
        <v>1.26</v>
      </c>
      <c r="R349" s="9" t="n">
        <f aca="false">(Q349-Q348)/Q348</f>
        <v>0.00800000000000001</v>
      </c>
      <c r="S349" s="10" t="n">
        <v>3.46</v>
      </c>
      <c r="T349" s="9" t="n">
        <f aca="false">(S349-S348)/S348</f>
        <v>-0.00574712643678161</v>
      </c>
      <c r="U349" s="13" t="n">
        <v>3.3</v>
      </c>
      <c r="V349" s="9" t="n">
        <f aca="false">(U349-U348)/U348</f>
        <v>-0.00302114803625385</v>
      </c>
      <c r="W349" s="0" t="n">
        <v>1.4296</v>
      </c>
      <c r="X349" s="23" t="n">
        <f aca="false">(W349-W348)/W348</f>
        <v>-0.00348529206747533</v>
      </c>
      <c r="Y349" s="0" t="n">
        <v>1.5158</v>
      </c>
      <c r="Z349" s="24" t="n">
        <f aca="false">(Y349-Y348)/Y348</f>
        <v>-0.000131926121372017</v>
      </c>
    </row>
    <row r="350" customFormat="false" ht="13.8" hidden="false" customHeight="false" outlineLevel="0" collapsed="false">
      <c r="A350" s="8" t="n">
        <v>40056</v>
      </c>
      <c r="B350" s="0" t="n">
        <v>45.24</v>
      </c>
      <c r="C350" s="9" t="n">
        <f aca="false">(B350-B349)/B349</f>
        <v>-0.047979797979798</v>
      </c>
      <c r="D350" s="0" t="n">
        <v>25.26</v>
      </c>
      <c r="E350" s="9" t="n">
        <f aca="false">(D350-D349)/D349</f>
        <v>0.0201938610662359</v>
      </c>
      <c r="F350" s="0" t="n">
        <v>102.06</v>
      </c>
      <c r="G350" s="9" t="n">
        <f aca="false">(F350-F349)/F349</f>
        <v>-0.0127684271619268</v>
      </c>
      <c r="H350" s="0" t="n">
        <f aca="false">AVERAGE(F336:F349)</f>
        <v>95.9392857142857</v>
      </c>
      <c r="I350" s="0" t="n">
        <f aca="false">AVERAGE(F343:F349)</f>
        <v>99.9057142857143</v>
      </c>
      <c r="J350" s="0" t="n">
        <f aca="false">AVERAGE(F347:F349)</f>
        <v>102.38</v>
      </c>
      <c r="K350" s="10" t="n">
        <v>72.37</v>
      </c>
      <c r="L350" s="9" t="n">
        <f aca="false">(K350-K349)/K349</f>
        <v>0.022175141242938</v>
      </c>
      <c r="M350" s="10" t="n">
        <v>72.33</v>
      </c>
      <c r="N350" s="9" t="n">
        <f aca="false">(M350-M349)/M349</f>
        <v>0.0113255033557047</v>
      </c>
      <c r="O350" s="0" t="n">
        <v>1.14</v>
      </c>
      <c r="P350" s="9" t="n">
        <f aca="false">(O350-O349)/O349</f>
        <v>-0.0655737704918032</v>
      </c>
      <c r="Q350" s="10" t="n">
        <v>1.19</v>
      </c>
      <c r="R350" s="9" t="n">
        <f aca="false">(Q350-Q349)/Q349</f>
        <v>-0.0555555555555556</v>
      </c>
      <c r="S350" s="10" t="n">
        <v>3.37</v>
      </c>
      <c r="T350" s="9" t="n">
        <f aca="false">(S350-S349)/S349</f>
        <v>-0.0260115606936416</v>
      </c>
      <c r="U350" s="13" t="n">
        <v>3.23</v>
      </c>
      <c r="V350" s="9" t="n">
        <f aca="false">(U350-U349)/U349</f>
        <v>-0.0212121212121212</v>
      </c>
      <c r="W350" s="0" t="n">
        <v>1.4311</v>
      </c>
      <c r="X350" s="23" t="n">
        <f aca="false">(W350-W349)/W349</f>
        <v>0.00104924454392841</v>
      </c>
      <c r="Y350" s="0" t="n">
        <v>1.5162</v>
      </c>
      <c r="Z350" s="24" t="n">
        <f aca="false">(Y350-Y349)/Y349</f>
        <v>0.000263887056339857</v>
      </c>
    </row>
    <row r="351" customFormat="false" ht="13.8" hidden="false" customHeight="false" outlineLevel="0" collapsed="false">
      <c r="A351" s="8" t="n">
        <v>40064</v>
      </c>
      <c r="B351" s="0" t="n">
        <v>45.42</v>
      </c>
      <c r="C351" s="9" t="n">
        <f aca="false">(B351-B350)/B350</f>
        <v>0.0039787798408488</v>
      </c>
      <c r="D351" s="0" t="n">
        <v>24.15</v>
      </c>
      <c r="E351" s="9" t="n">
        <f aca="false">(D351-D350)/D350</f>
        <v>-0.0439429928741094</v>
      </c>
      <c r="F351" s="0" t="n">
        <v>104.77</v>
      </c>
      <c r="G351" s="9" t="n">
        <f aca="false">(F351-F350)/F350</f>
        <v>0.0265530080344895</v>
      </c>
      <c r="H351" s="0" t="n">
        <f aca="false">AVERAGE(F337:F350)</f>
        <v>96.62</v>
      </c>
      <c r="I351" s="0" t="n">
        <f aca="false">AVERAGE(F344:F350)</f>
        <v>101.038571428571</v>
      </c>
      <c r="J351" s="0" t="n">
        <f aca="false">AVERAGE(F348:F350)</f>
        <v>102.803333333333</v>
      </c>
      <c r="K351" s="10" t="n">
        <v>68.39</v>
      </c>
      <c r="L351" s="9" t="n">
        <f aca="false">(K351-K350)/K350</f>
        <v>-0.0549951637418821</v>
      </c>
      <c r="M351" s="10" t="n">
        <v>67.6</v>
      </c>
      <c r="N351" s="9" t="n">
        <f aca="false">(M351-M350)/M350</f>
        <v>-0.0653947186506291</v>
      </c>
      <c r="O351" s="0" t="n">
        <v>1.34</v>
      </c>
      <c r="P351" s="9" t="n">
        <f aca="false">(O351-O350)/O350</f>
        <v>0.175438596491228</v>
      </c>
      <c r="Q351" s="10" t="n">
        <v>1</v>
      </c>
      <c r="R351" s="9" t="n">
        <f aca="false">(Q351-Q350)/Q350</f>
        <v>-0.159663865546218</v>
      </c>
      <c r="S351" s="10" t="n">
        <v>3.41</v>
      </c>
      <c r="T351" s="9" t="n">
        <f aca="false">(S351-S350)/S350</f>
        <v>0.0118694362017804</v>
      </c>
      <c r="U351" s="13" t="n">
        <v>3.27</v>
      </c>
      <c r="V351" s="9" t="n">
        <f aca="false">(U351-U350)/U350</f>
        <v>0.0123839009287926</v>
      </c>
      <c r="W351" s="0" t="n">
        <v>1.4594</v>
      </c>
      <c r="X351" s="23" t="n">
        <f aca="false">(W351-W350)/W350</f>
        <v>0.019774998253092</v>
      </c>
      <c r="Y351" s="0" t="n">
        <v>1.5134</v>
      </c>
      <c r="Z351" s="24" t="n">
        <f aca="false">(Y351-Y350)/Y350</f>
        <v>-0.00184672206832866</v>
      </c>
    </row>
    <row r="352" customFormat="false" ht="13.8" hidden="false" customHeight="false" outlineLevel="0" collapsed="false">
      <c r="A352" s="8" t="n">
        <v>40070</v>
      </c>
      <c r="B352" s="0" t="n">
        <v>47.69</v>
      </c>
      <c r="C352" s="9" t="n">
        <f aca="false">(B352-B351)/B351</f>
        <v>0.049977983267283</v>
      </c>
      <c r="D352" s="0" t="n">
        <v>23.92</v>
      </c>
      <c r="E352" s="9" t="n">
        <f aca="false">(D352-D351)/D351</f>
        <v>-0.00952380952380939</v>
      </c>
      <c r="F352" s="0" t="n">
        <v>106.72</v>
      </c>
      <c r="G352" s="9" t="n">
        <f aca="false">(F352-F351)/F351</f>
        <v>0.0186121981483249</v>
      </c>
      <c r="H352" s="0" t="n">
        <f aca="false">AVERAGE(F338:F351)</f>
        <v>97.35</v>
      </c>
      <c r="I352" s="0" t="n">
        <f aca="false">AVERAGE(F345:F351)</f>
        <v>101.997142857143</v>
      </c>
      <c r="J352" s="0" t="n">
        <f aca="false">AVERAGE(F349:F351)</f>
        <v>103.403333333333</v>
      </c>
      <c r="K352" s="10" t="n">
        <v>70.91</v>
      </c>
      <c r="L352" s="9" t="n">
        <f aca="false">(K352-K351)/K351</f>
        <v>0.036847492323439</v>
      </c>
      <c r="M352" s="10" t="n">
        <v>69.17</v>
      </c>
      <c r="N352" s="9" t="n">
        <f aca="false">(M352-M351)/M351</f>
        <v>0.023224852071006</v>
      </c>
      <c r="O352" s="0" t="n">
        <v>1.46</v>
      </c>
      <c r="P352" s="9" t="n">
        <f aca="false">(O352-O351)/O351</f>
        <v>0.0895522388059704</v>
      </c>
      <c r="Q352" s="10" t="n">
        <v>0.97</v>
      </c>
      <c r="R352" s="9" t="n">
        <f aca="false">(Q352-Q351)/Q351</f>
        <v>-0.03</v>
      </c>
      <c r="S352" s="10" t="n">
        <v>3.46</v>
      </c>
      <c r="T352" s="9" t="n">
        <f aca="false">(S352-S351)/S351</f>
        <v>0.0146627565982404</v>
      </c>
      <c r="U352" s="13" t="n">
        <v>3.35</v>
      </c>
      <c r="V352" s="9" t="n">
        <f aca="false">(U352-U351)/U351</f>
        <v>0.0244648318042814</v>
      </c>
      <c r="W352" s="0" t="n">
        <v>1.4722</v>
      </c>
      <c r="X352" s="23" t="n">
        <f aca="false">(W352-W351)/W351</f>
        <v>0.0087707276963135</v>
      </c>
      <c r="Y352" s="0" t="n">
        <v>1.5145</v>
      </c>
      <c r="Z352" s="24" t="n">
        <f aca="false">(Y352-Y351)/Y351</f>
        <v>0.000726840227302682</v>
      </c>
    </row>
    <row r="353" customFormat="false" ht="13.8" hidden="false" customHeight="false" outlineLevel="0" collapsed="false">
      <c r="A353" s="8" t="n">
        <v>40077</v>
      </c>
      <c r="B353" s="0" t="n">
        <v>46.12</v>
      </c>
      <c r="C353" s="9" t="n">
        <f aca="false">(B353-B352)/B352</f>
        <v>-0.0329209477877962</v>
      </c>
      <c r="D353" s="0" t="n">
        <v>25.61</v>
      </c>
      <c r="E353" s="9" t="n">
        <f aca="false">(D353-D352)/D352</f>
        <v>0.0706521739130434</v>
      </c>
      <c r="F353" s="0" t="n">
        <v>104.45</v>
      </c>
      <c r="G353" s="9" t="n">
        <f aca="false">(F353-F352)/F352</f>
        <v>-0.0212706146926536</v>
      </c>
      <c r="H353" s="0" t="n">
        <f aca="false">AVERAGE(F339:F352)</f>
        <v>98.1814285714286</v>
      </c>
      <c r="I353" s="0" t="n">
        <f aca="false">AVERAGE(F346:F352)</f>
        <v>103.127142857143</v>
      </c>
      <c r="J353" s="0" t="n">
        <f aca="false">AVERAGE(F350:F352)</f>
        <v>104.516666666667</v>
      </c>
      <c r="K353" s="10" t="n">
        <v>71.32</v>
      </c>
      <c r="L353" s="9" t="n">
        <f aca="false">(K353-K352)/K352</f>
        <v>0.005781977154139</v>
      </c>
      <c r="M353" s="10" t="n">
        <v>68.85</v>
      </c>
      <c r="N353" s="9" t="n">
        <f aca="false">(M353-M352)/M352</f>
        <v>-0.0046262830706955</v>
      </c>
      <c r="O353" s="0" t="n">
        <v>1.39</v>
      </c>
      <c r="P353" s="9" t="n">
        <f aca="false">(O353-O352)/O352</f>
        <v>-0.0479452054794521</v>
      </c>
      <c r="Q353" s="10" t="n">
        <v>1.02</v>
      </c>
      <c r="R353" s="9" t="n">
        <f aca="false">(Q353-Q352)/Q352</f>
        <v>0.0515463917525774</v>
      </c>
      <c r="S353" s="10" t="n">
        <v>3.43</v>
      </c>
      <c r="T353" s="9" t="n">
        <f aca="false">(S353-S352)/S352</f>
        <v>-0.00867052023121382</v>
      </c>
      <c r="U353" s="13" t="n">
        <v>3.32</v>
      </c>
      <c r="V353" s="9" t="n">
        <f aca="false">(U353-U352)/U352</f>
        <v>-0.00895522388059696</v>
      </c>
      <c r="W353" s="0" t="n">
        <v>1.4669</v>
      </c>
      <c r="X353" s="23" t="n">
        <f aca="false">(W353-W352)/W352</f>
        <v>-0.00360005434044278</v>
      </c>
      <c r="Y353" s="0" t="n">
        <v>1.5102</v>
      </c>
      <c r="Z353" s="24" t="n">
        <f aca="false">(Y353-Y352)/Y352</f>
        <v>-0.00283922086497192</v>
      </c>
    </row>
    <row r="354" customFormat="false" ht="13.8" hidden="false" customHeight="false" outlineLevel="0" collapsed="false">
      <c r="A354" s="8" t="n">
        <v>40084</v>
      </c>
      <c r="B354" s="0" t="n">
        <v>44.82</v>
      </c>
      <c r="C354" s="9" t="n">
        <f aca="false">(B354-B353)/B353</f>
        <v>-0.0281873373807458</v>
      </c>
      <c r="D354" s="0" t="n">
        <v>28.68</v>
      </c>
      <c r="E354" s="9" t="n">
        <f aca="false">(D354-D353)/D353</f>
        <v>0.119875048809059</v>
      </c>
      <c r="F354" s="0" t="n">
        <v>102.49</v>
      </c>
      <c r="G354" s="9" t="n">
        <f aca="false">(F354-F353)/F353</f>
        <v>-0.018764959310675</v>
      </c>
      <c r="H354" s="0" t="n">
        <f aca="false">AVERAGE(F340:F353)</f>
        <v>99.0678571428571</v>
      </c>
      <c r="I354" s="0" t="n">
        <f aca="false">AVERAGE(F347:F353)</f>
        <v>103.591428571429</v>
      </c>
      <c r="J354" s="0" t="n">
        <f aca="false">AVERAGE(F351:F353)</f>
        <v>105.313333333333</v>
      </c>
      <c r="K354" s="10" t="n">
        <v>68.33</v>
      </c>
      <c r="L354" s="9" t="n">
        <f aca="false">(K354-K353)/K353</f>
        <v>-0.041923724060572</v>
      </c>
      <c r="M354" s="10" t="n">
        <v>66.96</v>
      </c>
      <c r="N354" s="9" t="n">
        <f aca="false">(M354-M353)/M353</f>
        <v>-0.0274509803921569</v>
      </c>
      <c r="O354" s="0" t="n">
        <v>1.34</v>
      </c>
      <c r="P354" s="9" t="n">
        <f aca="false">(O354-O353)/O353</f>
        <v>-0.0359712230215829</v>
      </c>
      <c r="Q354" s="10" t="n">
        <v>0.94</v>
      </c>
      <c r="R354" s="9" t="n">
        <f aca="false">(Q354-Q353)/Q353</f>
        <v>-0.0784313725490196</v>
      </c>
      <c r="S354" s="10" t="n">
        <v>3.28</v>
      </c>
      <c r="T354" s="9" t="n">
        <f aca="false">(S354-S353)/S353</f>
        <v>-0.0437317784256559</v>
      </c>
      <c r="U354" s="13" t="n">
        <v>3.16</v>
      </c>
      <c r="V354" s="9" t="n">
        <f aca="false">(U354-U353)/U353</f>
        <v>-0.0481927710843375</v>
      </c>
      <c r="W354" s="0" t="n">
        <v>1.4571</v>
      </c>
      <c r="X354" s="23" t="n">
        <f aca="false">(W354-W353)/W353</f>
        <v>-0.00668075533437864</v>
      </c>
      <c r="Y354" s="0" t="n">
        <v>1.509</v>
      </c>
      <c r="Z354" s="24" t="n">
        <f aca="false">(Y354-Y353)/Y353</f>
        <v>-0.000794596742153417</v>
      </c>
    </row>
    <row r="355" customFormat="false" ht="13.8" hidden="false" customHeight="false" outlineLevel="0" collapsed="false">
      <c r="A355" s="8" t="n">
        <v>40091</v>
      </c>
      <c r="B355" s="0" t="n">
        <v>47.43</v>
      </c>
      <c r="C355" s="9" t="n">
        <f aca="false">(B355-B354)/B354</f>
        <v>0.0582329317269076</v>
      </c>
      <c r="D355" s="0" t="n">
        <v>23.12</v>
      </c>
      <c r="E355" s="9" t="n">
        <f aca="false">(D355-D354)/D354</f>
        <v>-0.193863319386332</v>
      </c>
      <c r="F355" s="0" t="n">
        <v>107.26</v>
      </c>
      <c r="G355" s="9" t="n">
        <f aca="false">(F355-F354)/F354</f>
        <v>0.0465411259635087</v>
      </c>
      <c r="H355" s="0" t="n">
        <f aca="false">AVERAGE(F341:F354)</f>
        <v>99.8285714285714</v>
      </c>
      <c r="I355" s="0" t="n">
        <f aca="false">AVERAGE(F348:F354)</f>
        <v>103.834285714286</v>
      </c>
      <c r="J355" s="0" t="n">
        <f aca="false">AVERAGE(F352:F354)</f>
        <v>104.553333333333</v>
      </c>
      <c r="K355" s="10" t="n">
        <v>68.84</v>
      </c>
      <c r="L355" s="9" t="n">
        <f aca="false">(K355-K354)/K354</f>
        <v>0.00746377872091329</v>
      </c>
      <c r="M355" s="10" t="n">
        <v>65.9</v>
      </c>
      <c r="N355" s="9" t="n">
        <f aca="false">(M355-M354)/M354</f>
        <v>-0.0158303464755076</v>
      </c>
      <c r="O355" s="0" t="n">
        <v>1.38</v>
      </c>
      <c r="P355" s="9" t="n">
        <f aca="false">(O355-O354)/O354</f>
        <v>0.0298507462686571</v>
      </c>
      <c r="Q355" s="10" t="n">
        <v>0.86</v>
      </c>
      <c r="R355" s="9" t="n">
        <f aca="false">(Q355-Q354)/Q354</f>
        <v>-0.0851063829787235</v>
      </c>
      <c r="S355" s="10" t="n">
        <v>3.28</v>
      </c>
      <c r="T355" s="9" t="n">
        <f aca="false">(S355-S354)/S354</f>
        <v>0</v>
      </c>
      <c r="U355" s="13" t="n">
        <v>3.2</v>
      </c>
      <c r="V355" s="9" t="n">
        <f aca="false">(U355-U354)/U354</f>
        <v>0.0126582278481013</v>
      </c>
      <c r="W355" s="0" t="n">
        <v>1.4709</v>
      </c>
      <c r="X355" s="23" t="n">
        <f aca="false">(W355-W354)/W354</f>
        <v>0.00947086679019973</v>
      </c>
      <c r="Y355" s="0" t="n">
        <v>1.5186</v>
      </c>
      <c r="Z355" s="24" t="n">
        <f aca="false">(Y355-Y354)/Y354</f>
        <v>0.00636182902584482</v>
      </c>
    </row>
    <row r="356" customFormat="false" ht="13.8" hidden="false" customHeight="false" outlineLevel="0" collapsed="false">
      <c r="A356" s="8" t="n">
        <v>40098</v>
      </c>
      <c r="B356" s="0" t="n">
        <v>47.29</v>
      </c>
      <c r="C356" s="9" t="n">
        <f aca="false">(B356-B355)/B355</f>
        <v>-0.00295171832173731</v>
      </c>
      <c r="D356" s="0" t="n">
        <v>21.43</v>
      </c>
      <c r="E356" s="9" t="n">
        <f aca="false">(D356-D355)/D355</f>
        <v>-0.0730968858131488</v>
      </c>
      <c r="F356" s="0" t="n">
        <v>108.89</v>
      </c>
      <c r="G356" s="9" t="n">
        <f aca="false">(F356-F355)/F355</f>
        <v>0.0151967182547081</v>
      </c>
      <c r="H356" s="0" t="n">
        <f aca="false">AVERAGE(F342:F355)</f>
        <v>101.075</v>
      </c>
      <c r="I356" s="0" t="n">
        <f aca="false">AVERAGE(F349:F355)</f>
        <v>104.447142857143</v>
      </c>
      <c r="J356" s="0" t="n">
        <f aca="false">AVERAGE(F353:F355)</f>
        <v>104.733333333333</v>
      </c>
      <c r="K356" s="10" t="n">
        <v>70.8</v>
      </c>
      <c r="L356" s="9" t="n">
        <f aca="false">(K356-K355)/K355</f>
        <v>0.0284718187100522</v>
      </c>
      <c r="M356" s="10" t="n">
        <v>67.87</v>
      </c>
      <c r="N356" s="9" t="n">
        <f aca="false">(M356-M355)/M355</f>
        <v>0.0298937784522003</v>
      </c>
      <c r="O356" s="0" t="n">
        <v>1.53</v>
      </c>
      <c r="P356" s="9" t="n">
        <f aca="false">(O356-O355)/O355</f>
        <v>0.108695652173913</v>
      </c>
      <c r="Q356" s="10" t="n">
        <v>0.83</v>
      </c>
      <c r="R356" s="9" t="n">
        <f aca="false">(Q356-Q355)/Q355</f>
        <v>-0.0348837209302325</v>
      </c>
      <c r="S356" s="10" t="n">
        <v>3.43</v>
      </c>
      <c r="T356" s="9" t="n">
        <f aca="false">(S356-S355)/S355</f>
        <v>0.0457317073170731</v>
      </c>
      <c r="U356" s="13" t="n">
        <v>3.36</v>
      </c>
      <c r="V356" s="9" t="n">
        <f aca="false">(U356-U355)/U355</f>
        <v>0.0500000000000002</v>
      </c>
      <c r="W356" s="0" t="n">
        <v>1.4893</v>
      </c>
      <c r="X356" s="23" t="n">
        <f aca="false">(W356-W355)/W355</f>
        <v>0.0125093480182201</v>
      </c>
      <c r="Y356" s="0" t="n">
        <v>1.517</v>
      </c>
      <c r="Z356" s="24" t="n">
        <f aca="false">(Y356-Y355)/Y355</f>
        <v>-0.00105360200184369</v>
      </c>
    </row>
    <row r="357" customFormat="false" ht="13.8" hidden="false" customHeight="false" outlineLevel="0" collapsed="false">
      <c r="A357" s="8" t="n">
        <v>40105</v>
      </c>
      <c r="B357" s="0" t="n">
        <v>46.48</v>
      </c>
      <c r="C357" s="9" t="n">
        <f aca="false">(B357-B356)/B356</f>
        <v>-0.0171283569465004</v>
      </c>
      <c r="D357" s="0" t="n">
        <v>22.27</v>
      </c>
      <c r="E357" s="9" t="n">
        <f aca="false">(D357-D356)/D356</f>
        <v>0.0391973868408773</v>
      </c>
      <c r="F357" s="0" t="n">
        <v>108.08</v>
      </c>
      <c r="G357" s="9" t="n">
        <f aca="false">(F357-F356)/F356</f>
        <v>-0.00743869960510609</v>
      </c>
      <c r="H357" s="0" t="n">
        <f aca="false">AVERAGE(F343:F356)</f>
        <v>102.57</v>
      </c>
      <c r="I357" s="0" t="n">
        <f aca="false">AVERAGE(F350:F356)</f>
        <v>105.234285714286</v>
      </c>
      <c r="J357" s="0" t="n">
        <f aca="false">AVERAGE(F354:F356)</f>
        <v>106.213333333333</v>
      </c>
      <c r="K357" s="10" t="n">
        <v>75.73</v>
      </c>
      <c r="L357" s="9" t="n">
        <f aca="false">(K357-K356)/K356</f>
        <v>0.069632768361582</v>
      </c>
      <c r="M357" s="10" t="n">
        <v>72.29</v>
      </c>
      <c r="N357" s="9" t="n">
        <f aca="false">(M357-M356)/M356</f>
        <v>0.0651245027257993</v>
      </c>
      <c r="O357" s="0" t="n">
        <v>1.57</v>
      </c>
      <c r="P357" s="9" t="n">
        <f aca="false">(O357-O356)/O356</f>
        <v>0.0261437908496732</v>
      </c>
      <c r="Q357" s="10" t="n">
        <v>0.81</v>
      </c>
      <c r="R357" s="9" t="n">
        <f aca="false">(Q357-Q356)/Q356</f>
        <v>-0.0240963855421687</v>
      </c>
      <c r="S357" s="10" t="n">
        <v>3.43</v>
      </c>
      <c r="T357" s="9" t="n">
        <f aca="false">(S357-S356)/S356</f>
        <v>0</v>
      </c>
      <c r="U357" s="13" t="n">
        <v>3.36</v>
      </c>
      <c r="V357" s="9" t="n">
        <f aca="false">(U357-U356)/U356</f>
        <v>0</v>
      </c>
      <c r="W357" s="0" t="n">
        <v>1.4997</v>
      </c>
      <c r="X357" s="23" t="n">
        <f aca="false">(W357-W356)/W356</f>
        <v>0.0069831464446384</v>
      </c>
      <c r="Y357" s="0" t="n">
        <v>1.5138</v>
      </c>
      <c r="Z357" s="24" t="n">
        <f aca="false">(Y357-Y356)/Y356</f>
        <v>-0.00210942649967032</v>
      </c>
    </row>
    <row r="358" customFormat="false" ht="13.8" hidden="false" customHeight="false" outlineLevel="0" collapsed="false">
      <c r="A358" s="8" t="n">
        <v>40112</v>
      </c>
      <c r="B358" s="0" t="n">
        <v>42.23</v>
      </c>
      <c r="C358" s="9" t="n">
        <f aca="false">(B358-B357)/B357</f>
        <v>-0.0914371772805508</v>
      </c>
      <c r="D358" s="0" t="n">
        <v>30.69</v>
      </c>
      <c r="E358" s="9" t="n">
        <f aca="false">(D358-D357)/D357</f>
        <v>0.378087112707679</v>
      </c>
      <c r="F358" s="0" t="n">
        <v>103.56</v>
      </c>
      <c r="G358" s="9" t="n">
        <f aca="false">(F358-F357)/F357</f>
        <v>-0.041820873427091</v>
      </c>
      <c r="H358" s="0" t="n">
        <f aca="false">AVERAGE(F344:F357)</f>
        <v>103.566428571429</v>
      </c>
      <c r="I358" s="0" t="n">
        <f aca="false">AVERAGE(F351:F357)</f>
        <v>106.094285714286</v>
      </c>
      <c r="J358" s="0" t="n">
        <f aca="false">AVERAGE(F355:F357)</f>
        <v>108.076666666667</v>
      </c>
      <c r="K358" s="10" t="n">
        <v>80.06</v>
      </c>
      <c r="L358" s="9" t="n">
        <f aca="false">(K358-K357)/K357</f>
        <v>0.0571768123596989</v>
      </c>
      <c r="M358" s="10" t="n">
        <v>77.24</v>
      </c>
      <c r="N358" s="9" t="n">
        <f aca="false">(M358-M357)/M357</f>
        <v>0.0684742011343199</v>
      </c>
      <c r="O358" s="0" t="n">
        <v>1.6</v>
      </c>
      <c r="P358" s="9" t="n">
        <f aca="false">(O358-O357)/O357</f>
        <v>0.0191082802547772</v>
      </c>
      <c r="Q358" s="10" t="n">
        <v>0.81</v>
      </c>
      <c r="R358" s="9" t="n">
        <f aca="false">(Q358-Q357)/Q357</f>
        <v>0</v>
      </c>
      <c r="S358" s="10" t="n">
        <v>3.49</v>
      </c>
      <c r="T358" s="9" t="n">
        <f aca="false">(S358-S357)/S357</f>
        <v>0.0174927113702624</v>
      </c>
      <c r="U358" s="13" t="n">
        <v>3.42</v>
      </c>
      <c r="V358" s="9" t="n">
        <f aca="false">(U358-U357)/U357</f>
        <v>0.0178571428571429</v>
      </c>
      <c r="W358" s="0" t="n">
        <v>1.4713</v>
      </c>
      <c r="X358" s="23" t="n">
        <f aca="false">(W358-W357)/W357</f>
        <v>-0.0189371207574848</v>
      </c>
      <c r="Y358" s="0" t="n">
        <v>1.5094</v>
      </c>
      <c r="Z358" s="24" t="n">
        <f aca="false">(Y358-Y357)/Y357</f>
        <v>-0.00290659268067113</v>
      </c>
    </row>
    <row r="359" customFormat="false" ht="13.8" hidden="false" customHeight="false" outlineLevel="0" collapsed="false">
      <c r="A359" s="8" t="n">
        <v>40119</v>
      </c>
      <c r="B359" s="0" t="n">
        <v>42.84</v>
      </c>
      <c r="C359" s="9" t="n">
        <f aca="false">(B359-B358)/B358</f>
        <v>0.0144447075538718</v>
      </c>
      <c r="D359" s="0" t="n">
        <v>24.19</v>
      </c>
      <c r="E359" s="9" t="n">
        <f aca="false">(D359-D358)/D358</f>
        <v>-0.211795373085696</v>
      </c>
      <c r="F359" s="0" t="n">
        <v>107.13</v>
      </c>
      <c r="G359" s="9" t="n">
        <f aca="false">(F359-F358)/F358</f>
        <v>0.0344727694090382</v>
      </c>
      <c r="H359" s="0" t="n">
        <f aca="false">AVERAGE(F345:F358)</f>
        <v>103.959285714286</v>
      </c>
      <c r="I359" s="0" t="n">
        <f aca="false">AVERAGE(F352:F358)</f>
        <v>105.921428571429</v>
      </c>
      <c r="J359" s="0" t="n">
        <f aca="false">AVERAGE(F356:F358)</f>
        <v>106.843333333333</v>
      </c>
      <c r="K359" s="10" t="n">
        <v>78.47</v>
      </c>
      <c r="L359" s="9" t="n">
        <f aca="false">(K359-K358)/K358</f>
        <v>-0.0198601049213091</v>
      </c>
      <c r="M359" s="10" t="n">
        <v>76.07</v>
      </c>
      <c r="N359" s="9" t="n">
        <f aca="false">(M359-M358)/M358</f>
        <v>-0.0151475919212843</v>
      </c>
      <c r="O359" s="0" t="n">
        <v>1.68</v>
      </c>
      <c r="P359" s="9" t="n">
        <f aca="false">(O359-O358)/O358</f>
        <v>0.05</v>
      </c>
      <c r="Q359" s="10" t="n">
        <v>0.67</v>
      </c>
      <c r="R359" s="9" t="n">
        <f aca="false">(Q359-Q358)/Q358</f>
        <v>-0.17283950617284</v>
      </c>
      <c r="S359" s="10" t="n">
        <v>3.53</v>
      </c>
      <c r="T359" s="9" t="n">
        <f aca="false">(S359-S358)/S358</f>
        <v>0.0114613180515759</v>
      </c>
      <c r="U359" s="13" t="n">
        <v>3.48</v>
      </c>
      <c r="V359" s="9" t="n">
        <f aca="false">(U359-U358)/U358</f>
        <v>0.0175438596491227</v>
      </c>
      <c r="W359" s="0" t="n">
        <v>1.4846</v>
      </c>
      <c r="X359" s="23" t="n">
        <f aca="false">(W359-W358)/W358</f>
        <v>0.00903962482158626</v>
      </c>
      <c r="Y359" s="0" t="n">
        <v>1.5102</v>
      </c>
      <c r="Z359" s="24" t="n">
        <f aca="false">(Y359-Y358)/Y358</f>
        <v>0.00053001192526826</v>
      </c>
    </row>
    <row r="360" customFormat="false" ht="13.8" hidden="false" customHeight="false" outlineLevel="0" collapsed="false">
      <c r="A360" s="8" t="n">
        <v>40126</v>
      </c>
      <c r="B360" s="0" t="n">
        <v>43.14</v>
      </c>
      <c r="C360" s="9" t="n">
        <f aca="false">(B360-B359)/B359</f>
        <v>0.00700280112044811</v>
      </c>
      <c r="D360" s="0" t="n">
        <v>23.36</v>
      </c>
      <c r="E360" s="9" t="n">
        <f aca="false">(D360-D359)/D359</f>
        <v>-0.034311699049194</v>
      </c>
      <c r="F360" s="0" t="n">
        <v>109.62</v>
      </c>
      <c r="G360" s="9" t="n">
        <f aca="false">(F360-F359)/F359</f>
        <v>0.0232427891346962</v>
      </c>
      <c r="H360" s="0" t="n">
        <f aca="false">AVERAGE(F346:F359)</f>
        <v>104.553571428571</v>
      </c>
      <c r="I360" s="0" t="n">
        <f aca="false">AVERAGE(F353:F359)</f>
        <v>105.98</v>
      </c>
      <c r="J360" s="0" t="n">
        <f aca="false">AVERAGE(F357:F359)</f>
        <v>106.256666666667</v>
      </c>
      <c r="K360" s="10" t="n">
        <v>79</v>
      </c>
      <c r="L360" s="9" t="n">
        <f aca="false">(K360-K359)/K359</f>
        <v>0.00675417356951703</v>
      </c>
      <c r="M360" s="10" t="n">
        <v>76.6</v>
      </c>
      <c r="N360" s="9" t="n">
        <f aca="false">(M360-M359)/M359</f>
        <v>0.00696726699092942</v>
      </c>
      <c r="O360" s="0" t="n">
        <v>1.76</v>
      </c>
      <c r="P360" s="9" t="n">
        <f aca="false">(O360-O359)/O359</f>
        <v>0.0476190476190474</v>
      </c>
      <c r="Q360" s="10" t="n">
        <v>0.54</v>
      </c>
      <c r="R360" s="9" t="n">
        <f aca="false">(Q360-Q359)/Q359</f>
        <v>-0.194029850746269</v>
      </c>
      <c r="S360" s="10" t="n">
        <v>3.48</v>
      </c>
      <c r="T360" s="9" t="n">
        <f aca="false">(S360-S359)/S359</f>
        <v>-0.0141643059490086</v>
      </c>
      <c r="U360" s="13" t="n">
        <v>3.41</v>
      </c>
      <c r="V360" s="9" t="n">
        <f aca="false">(U360-U359)/U359</f>
        <v>-0.0201149425287356</v>
      </c>
      <c r="W360" s="0" t="n">
        <v>1.4914</v>
      </c>
      <c r="X360" s="23" t="n">
        <f aca="false">(W360-W359)/W359</f>
        <v>0.00458035834568243</v>
      </c>
      <c r="Y360" s="0" t="n">
        <v>1.5094</v>
      </c>
      <c r="Z360" s="24" t="n">
        <f aca="false">(Y360-Y359)/Y359</f>
        <v>-0.000529731161435513</v>
      </c>
    </row>
    <row r="361" customFormat="false" ht="13.8" hidden="false" customHeight="false" outlineLevel="0" collapsed="false">
      <c r="A361" s="8" t="n">
        <v>40133</v>
      </c>
      <c r="B361" s="0" t="n">
        <v>43.67</v>
      </c>
      <c r="C361" s="9" t="n">
        <f aca="false">(B361-B360)/B360</f>
        <v>0.0122855818266111</v>
      </c>
      <c r="D361" s="0" t="n">
        <v>22.19</v>
      </c>
      <c r="E361" s="9" t="n">
        <f aca="false">(D361-D360)/D360</f>
        <v>-0.0500856164383561</v>
      </c>
      <c r="F361" s="0" t="n">
        <v>109.43</v>
      </c>
      <c r="G361" s="9" t="n">
        <f aca="false">(F361-F360)/F360</f>
        <v>-0.00173326035394999</v>
      </c>
      <c r="H361" s="0" t="n">
        <f aca="false">AVERAGE(F347:F360)</f>
        <v>105.155</v>
      </c>
      <c r="I361" s="0" t="n">
        <f aca="false">AVERAGE(F354:F360)</f>
        <v>106.718571428571</v>
      </c>
      <c r="J361" s="0" t="n">
        <f aca="false">AVERAGE(F358:F360)</f>
        <v>106.77</v>
      </c>
      <c r="K361" s="10" t="n">
        <v>78.24</v>
      </c>
      <c r="L361" s="9" t="n">
        <f aca="false">(K361-K360)/K360</f>
        <v>-0.00962025316455703</v>
      </c>
      <c r="M361" s="10" t="n">
        <v>76.25</v>
      </c>
      <c r="N361" s="9" t="n">
        <f aca="false">(M361-M360)/M360</f>
        <v>-0.00456919060052212</v>
      </c>
      <c r="O361" s="0" t="n">
        <v>1.77</v>
      </c>
      <c r="P361" s="9" t="n">
        <f aca="false">(O361-O360)/O360</f>
        <v>0.00568181818181831</v>
      </c>
      <c r="Q361" s="10" t="n">
        <v>0.42</v>
      </c>
      <c r="R361" s="9" t="n">
        <f aca="false">(Q361-Q360)/Q360</f>
        <v>-0.222222222222222</v>
      </c>
      <c r="S361" s="10" t="n">
        <v>3.35</v>
      </c>
      <c r="T361" s="9" t="n">
        <f aca="false">(S361-S360)/S360</f>
        <v>-0.0373563218390804</v>
      </c>
      <c r="U361" s="13" t="n">
        <v>3.31</v>
      </c>
      <c r="V361" s="9" t="n">
        <f aca="false">(U361-U360)/U360</f>
        <v>-0.029325513196481</v>
      </c>
      <c r="W361" s="0" t="n">
        <v>1.4859</v>
      </c>
      <c r="X361" s="23" t="n">
        <f aca="false">(W361-W360)/W360</f>
        <v>-0.00368781011130485</v>
      </c>
      <c r="Y361" s="0" t="n">
        <v>1.5119</v>
      </c>
      <c r="Z361" s="24" t="n">
        <f aca="false">(Y361-Y360)/Y360</f>
        <v>0.00165628726646346</v>
      </c>
    </row>
    <row r="362" customFormat="false" ht="13.8" hidden="false" customHeight="false" outlineLevel="0" collapsed="false">
      <c r="A362" s="8" t="n">
        <v>40140</v>
      </c>
      <c r="B362" s="0" t="n">
        <v>43.04</v>
      </c>
      <c r="C362" s="9" t="n">
        <f aca="false">(B362-B361)/B361</f>
        <v>-0.0144263796656744</v>
      </c>
      <c r="D362" s="0" t="n">
        <v>24.74</v>
      </c>
      <c r="E362" s="9" t="n">
        <f aca="false">(D362-D361)/D361</f>
        <v>0.114916629112213</v>
      </c>
      <c r="F362" s="0" t="n">
        <v>109.57</v>
      </c>
      <c r="G362" s="9" t="n">
        <f aca="false">(F362-F361)/F361</f>
        <v>0.00127935666636193</v>
      </c>
      <c r="H362" s="0" t="n">
        <f aca="false">AVERAGE(F348:F361)</f>
        <v>105.772142857143</v>
      </c>
      <c r="I362" s="0" t="n">
        <f aca="false">AVERAGE(F355:F361)</f>
        <v>107.71</v>
      </c>
      <c r="J362" s="0" t="n">
        <f aca="false">AVERAGE(F359:F361)</f>
        <v>108.726666666667</v>
      </c>
      <c r="K362" s="10" t="n">
        <v>78.37</v>
      </c>
      <c r="L362" s="9" t="n">
        <f aca="false">(K362-K361)/K361</f>
        <v>0.00166155419222916</v>
      </c>
      <c r="M362" s="10" t="n">
        <v>77.04</v>
      </c>
      <c r="N362" s="9" t="n">
        <f aca="false">(M362-M361)/M361</f>
        <v>0.010360655737705</v>
      </c>
      <c r="O362" s="0" t="n">
        <v>1.79</v>
      </c>
      <c r="P362" s="9" t="n">
        <f aca="false">(O362-O361)/O361</f>
        <v>0.0112994350282486</v>
      </c>
      <c r="Q362" s="10" t="n">
        <v>0.33</v>
      </c>
      <c r="R362" s="9" t="n">
        <f aca="false">(Q362-Q361)/Q361</f>
        <v>-0.214285714285714</v>
      </c>
      <c r="S362" s="10" t="n">
        <v>3.3</v>
      </c>
      <c r="T362" s="9" t="n">
        <f aca="false">(S362-S361)/S361</f>
        <v>-0.0149253731343284</v>
      </c>
      <c r="U362" s="13" t="n">
        <v>3.25</v>
      </c>
      <c r="V362" s="9" t="n">
        <f aca="false">(U362-U361)/U361</f>
        <v>-0.0181268882175227</v>
      </c>
      <c r="W362" s="0" t="n">
        <v>1.4957</v>
      </c>
      <c r="X362" s="23" t="n">
        <f aca="false">(W362-W361)/W361</f>
        <v>0.00659532942997512</v>
      </c>
      <c r="Y362" s="0" t="n">
        <v>1.5056</v>
      </c>
      <c r="Z362" s="24" t="n">
        <f aca="false">(Y362-Y361)/Y361</f>
        <v>-0.00416694225808583</v>
      </c>
    </row>
    <row r="363" customFormat="false" ht="13.8" hidden="false" customHeight="false" outlineLevel="0" collapsed="false">
      <c r="A363" s="8" t="n">
        <v>40147</v>
      </c>
      <c r="B363" s="0" t="n">
        <v>44.24</v>
      </c>
      <c r="C363" s="9" t="n">
        <f aca="false">(B363-B362)/B362</f>
        <v>0.0278810408921934</v>
      </c>
      <c r="D363" s="0" t="n">
        <v>21.25</v>
      </c>
      <c r="E363" s="9" t="n">
        <f aca="false">(D363-D362)/D362</f>
        <v>-0.1410670978173</v>
      </c>
      <c r="F363" s="0" t="n">
        <v>111.01</v>
      </c>
      <c r="G363" s="9" t="n">
        <f aca="false">(F363-F362)/F362</f>
        <v>0.0131422834717533</v>
      </c>
      <c r="H363" s="0" t="n">
        <f aca="false">AVERAGE(F349:F362)</f>
        <v>106.243571428571</v>
      </c>
      <c r="I363" s="0" t="n">
        <f aca="false">AVERAGE(F356:F362)</f>
        <v>108.04</v>
      </c>
      <c r="J363" s="0" t="n">
        <f aca="false">AVERAGE(F360:F362)</f>
        <v>109.54</v>
      </c>
      <c r="K363" s="10" t="n">
        <v>76.14</v>
      </c>
      <c r="L363" s="9" t="n">
        <f aca="false">(K363-K362)/K362</f>
        <v>-0.028454765854281</v>
      </c>
      <c r="M363" s="10" t="n">
        <v>76.52</v>
      </c>
      <c r="N363" s="9" t="n">
        <f aca="false">(M363-M362)/M362</f>
        <v>-0.00674974039460034</v>
      </c>
      <c r="O363" s="0" t="n">
        <v>1.8</v>
      </c>
      <c r="P363" s="9" t="n">
        <f aca="false">(O363-O362)/O362</f>
        <v>0.00558659217877095</v>
      </c>
      <c r="Q363" s="10" t="n">
        <v>0.3</v>
      </c>
      <c r="R363" s="9" t="n">
        <f aca="false">(Q363-Q362)/Q362</f>
        <v>-0.0909090909090908</v>
      </c>
      <c r="S363" s="10" t="n">
        <v>3.34</v>
      </c>
      <c r="T363" s="9" t="n">
        <f aca="false">(S363-S362)/S362</f>
        <v>0.0121212121212121</v>
      </c>
      <c r="U363" s="13" t="n">
        <v>3.28</v>
      </c>
      <c r="V363" s="9" t="n">
        <f aca="false">(U363-U362)/U362</f>
        <v>0.00923076923076931</v>
      </c>
      <c r="W363" s="0" t="n">
        <v>1.4843</v>
      </c>
      <c r="X363" s="23" t="n">
        <f aca="false">(W363-W362)/W362</f>
        <v>-0.00762184930133053</v>
      </c>
      <c r="Y363" s="0" t="n">
        <v>1.5097</v>
      </c>
      <c r="Z363" s="24" t="n">
        <f aca="false">(Y363-Y362)/Y362</f>
        <v>0.0027231668437832</v>
      </c>
    </row>
    <row r="364" customFormat="false" ht="13.8" hidden="false" customHeight="false" outlineLevel="0" collapsed="false">
      <c r="A364" s="8" t="n">
        <v>40154</v>
      </c>
      <c r="B364" s="0" t="n">
        <v>43.59</v>
      </c>
      <c r="C364" s="9" t="n">
        <f aca="false">(B364-B363)/B363</f>
        <v>-0.0146925858951175</v>
      </c>
      <c r="D364" s="0" t="n">
        <v>21.59</v>
      </c>
      <c r="E364" s="9" t="n">
        <f aca="false">(D364-D363)/D363</f>
        <v>0.016</v>
      </c>
      <c r="F364" s="0" t="n">
        <v>111.11</v>
      </c>
      <c r="G364" s="9" t="n">
        <f aca="false">(F364-F363)/F363</f>
        <v>0.00090081974596878</v>
      </c>
      <c r="H364" s="0" t="n">
        <f aca="false">AVERAGE(F350:F363)</f>
        <v>106.788571428571</v>
      </c>
      <c r="I364" s="0" t="n">
        <f aca="false">AVERAGE(F357:F363)</f>
        <v>108.342857142857</v>
      </c>
      <c r="J364" s="0" t="n">
        <f aca="false">AVERAGE(F361:F363)</f>
        <v>110.003333333333</v>
      </c>
      <c r="K364" s="10" t="n">
        <v>76.81</v>
      </c>
      <c r="L364" s="9" t="n">
        <f aca="false">(K364-K363)/K363</f>
        <v>0.00879957972156556</v>
      </c>
      <c r="M364" s="10" t="n">
        <v>77.78</v>
      </c>
      <c r="N364" s="9" t="n">
        <f aca="false">(M364-M363)/M363</f>
        <v>0.0164662833246211</v>
      </c>
      <c r="O364" s="0" t="n">
        <v>1.76</v>
      </c>
      <c r="P364" s="9" t="n">
        <f aca="false">(O364-O363)/O363</f>
        <v>-0.0222222222222221</v>
      </c>
      <c r="Q364" s="10" t="n">
        <v>0.42</v>
      </c>
      <c r="R364" s="9" t="n">
        <f aca="false">(Q364-Q363)/Q363</f>
        <v>0.4</v>
      </c>
      <c r="S364" s="10" t="n">
        <v>3.47</v>
      </c>
      <c r="T364" s="9" t="n">
        <f aca="false">(S364-S363)/S363</f>
        <v>0.0389221556886229</v>
      </c>
      <c r="U364" s="13" t="n">
        <v>3.44</v>
      </c>
      <c r="V364" s="9" t="n">
        <f aca="false">(U364-U363)/U363</f>
        <v>0.0487804878048781</v>
      </c>
      <c r="W364" s="0" t="n">
        <v>1.4619</v>
      </c>
      <c r="X364" s="23" t="n">
        <f aca="false">(W364-W363)/W363</f>
        <v>-0.0150912888230142</v>
      </c>
      <c r="Y364" s="0" t="n">
        <v>1.5123</v>
      </c>
      <c r="Z364" s="24" t="n">
        <f aca="false">(Y364-Y363)/Y363</f>
        <v>0.00172219646287338</v>
      </c>
    </row>
    <row r="365" customFormat="false" ht="13.8" hidden="false" customHeight="false" outlineLevel="0" collapsed="false">
      <c r="A365" s="8" t="n">
        <v>40161</v>
      </c>
      <c r="B365" s="0" t="n">
        <v>42.66</v>
      </c>
      <c r="C365" s="9" t="n">
        <f aca="false">(B365-B364)/B364</f>
        <v>-0.0213351686166553</v>
      </c>
      <c r="D365" s="0" t="n">
        <v>21.68</v>
      </c>
      <c r="E365" s="9" t="n">
        <f aca="false">(D365-D364)/D364</f>
        <v>0.00416859657248726</v>
      </c>
      <c r="F365" s="0" t="n">
        <v>110.21</v>
      </c>
      <c r="G365" s="9" t="n">
        <f aca="false">(F365-F364)/F364</f>
        <v>-0.00810008100081006</v>
      </c>
      <c r="H365" s="0" t="n">
        <f aca="false">AVERAGE(F351:F364)</f>
        <v>107.435</v>
      </c>
      <c r="I365" s="0" t="n">
        <f aca="false">AVERAGE(F358:F364)</f>
        <v>108.775714285714</v>
      </c>
      <c r="J365" s="0" t="n">
        <f aca="false">AVERAGE(F362:F364)</f>
        <v>110.563333333333</v>
      </c>
      <c r="K365" s="10" t="n">
        <v>71.51</v>
      </c>
      <c r="L365" s="9" t="n">
        <f aca="false">(K365-K364)/K364</f>
        <v>-0.0690014321051946</v>
      </c>
      <c r="M365" s="10" t="n">
        <v>73.14</v>
      </c>
      <c r="N365" s="9" t="n">
        <f aca="false">(M365-M364)/M364</f>
        <v>-0.0596554384160453</v>
      </c>
      <c r="O365" s="0" t="n">
        <v>1.9</v>
      </c>
      <c r="P365" s="9" t="n">
        <f aca="false">(O365-O364)/O364</f>
        <v>0.0795454545454545</v>
      </c>
      <c r="Q365" s="10" t="n">
        <v>0.41</v>
      </c>
      <c r="R365" s="9" t="n">
        <f aca="false">(Q365-Q364)/Q364</f>
        <v>-0.0238095238095237</v>
      </c>
      <c r="S365" s="10" t="n">
        <v>3.56</v>
      </c>
      <c r="T365" s="9" t="n">
        <f aca="false">(S365-S364)/S364</f>
        <v>0.0259365994236311</v>
      </c>
      <c r="U365" s="13" t="n">
        <v>3.52</v>
      </c>
      <c r="V365" s="9" t="n">
        <f aca="false">(U365-U364)/U364</f>
        <v>0.0232558139534883</v>
      </c>
      <c r="W365" s="0" t="n">
        <v>1.434</v>
      </c>
      <c r="X365" s="23" t="n">
        <f aca="false">(W365-W364)/W364</f>
        <v>-0.0190847527190643</v>
      </c>
      <c r="Y365" s="0" t="n">
        <v>1.4948</v>
      </c>
      <c r="Z365" s="24" t="n">
        <f aca="false">(Y365-Y364)/Y364</f>
        <v>-0.0115717780863586</v>
      </c>
    </row>
    <row r="366" customFormat="false" ht="13.8" hidden="false" customHeight="false" outlineLevel="0" collapsed="false">
      <c r="A366" s="8" t="n">
        <v>40168</v>
      </c>
      <c r="B366" s="0" t="n">
        <v>43.34</v>
      </c>
      <c r="C366" s="9" t="n">
        <f aca="false">(B366-B365)/B365</f>
        <v>0.0159399906235351</v>
      </c>
      <c r="D366" s="0" t="n">
        <v>19.47</v>
      </c>
      <c r="E366" s="9" t="n">
        <f aca="false">(D366-D365)/D365</f>
        <v>-0.101937269372694</v>
      </c>
      <c r="F366" s="0" t="n">
        <v>112.48</v>
      </c>
      <c r="G366" s="9" t="n">
        <f aca="false">(F366-F365)/F365</f>
        <v>0.0205970420107069</v>
      </c>
      <c r="H366" s="0" t="n">
        <f aca="false">AVERAGE(F352:F365)</f>
        <v>107.823571428571</v>
      </c>
      <c r="I366" s="0" t="n">
        <f aca="false">AVERAGE(F359:F365)</f>
        <v>109.725714285714</v>
      </c>
      <c r="J366" s="0" t="n">
        <f aca="false">AVERAGE(F363:F365)</f>
        <v>110.776666666667</v>
      </c>
      <c r="K366" s="10" t="n">
        <v>71.72</v>
      </c>
      <c r="L366" s="9" t="n">
        <f aca="false">(K366-K365)/K365</f>
        <v>0.00293665221647313</v>
      </c>
      <c r="M366" s="10" t="n">
        <v>71.8</v>
      </c>
      <c r="N366" s="9" t="n">
        <f aca="false">(M366-M365)/M365</f>
        <v>-0.0183210281651627</v>
      </c>
      <c r="O366" s="0" t="n">
        <v>2.01</v>
      </c>
      <c r="P366" s="9" t="n">
        <f aca="false">(O366-O365)/O365</f>
        <v>0.0578947368421051</v>
      </c>
      <c r="Q366" s="10" t="n">
        <v>0.49</v>
      </c>
      <c r="R366" s="9" t="n">
        <f aca="false">(Q366-Q365)/Q365</f>
        <v>0.195121951219512</v>
      </c>
      <c r="S366" s="10" t="n">
        <v>3.76</v>
      </c>
      <c r="T366" s="9" t="n">
        <f aca="false">(S366-S365)/S365</f>
        <v>0.0561797752808988</v>
      </c>
      <c r="U366" s="13" t="n">
        <v>3.69</v>
      </c>
      <c r="V366" s="9" t="n">
        <f aca="false">(U366-U365)/U365</f>
        <v>0.0482954545454545</v>
      </c>
      <c r="W366" s="0" t="n">
        <v>1.4426</v>
      </c>
      <c r="X366" s="23" t="n">
        <f aca="false">(W366-W365)/W365</f>
        <v>0.00599721059972117</v>
      </c>
      <c r="Y366" s="0" t="n">
        <v>1.4915</v>
      </c>
      <c r="Z366" s="24" t="n">
        <f aca="false">(Y366-Y365)/Y365</f>
        <v>-0.00220765319775211</v>
      </c>
    </row>
    <row r="367" customFormat="false" ht="13.8" hidden="false" customHeight="false" outlineLevel="0" collapsed="false">
      <c r="A367" s="8" t="n">
        <v>40175</v>
      </c>
      <c r="B367" s="0" t="n">
        <v>42.71</v>
      </c>
      <c r="C367" s="9" t="n">
        <f aca="false">(B367-B366)/B366</f>
        <v>-0.0145362251961237</v>
      </c>
      <c r="D367" s="0" t="n">
        <v>21.68</v>
      </c>
      <c r="E367" s="9" t="n">
        <f aca="false">(D367-D366)/D366</f>
        <v>0.113507960965588</v>
      </c>
      <c r="F367" s="0" t="n">
        <v>111.44</v>
      </c>
      <c r="G367" s="9" t="n">
        <f aca="false">(F367-F366)/F366</f>
        <v>-0.00924608819345667</v>
      </c>
      <c r="H367" s="0" t="n">
        <f aca="false">AVERAGE(F353:F366)</f>
        <v>108.235</v>
      </c>
      <c r="I367" s="0" t="n">
        <f aca="false">AVERAGE(F360:F366)</f>
        <v>110.49</v>
      </c>
      <c r="J367" s="0" t="n">
        <f aca="false">AVERAGE(F364:F366)</f>
        <v>111.266666666667</v>
      </c>
      <c r="K367" s="10" t="n">
        <v>74.76</v>
      </c>
      <c r="L367" s="9" t="n">
        <f aca="false">(K367-K366)/K366</f>
        <v>0.0423870607919689</v>
      </c>
      <c r="M367" s="10" t="n">
        <v>73.35</v>
      </c>
      <c r="N367" s="9" t="n">
        <f aca="false">(M367-M366)/M366</f>
        <v>0.0215877437325905</v>
      </c>
      <c r="O367" s="0" t="n">
        <v>2.11</v>
      </c>
      <c r="P367" s="9" t="n">
        <f aca="false">(O367-O366)/O366</f>
        <v>0.0497512437810948</v>
      </c>
      <c r="Q367" s="10" t="n">
        <v>0.53</v>
      </c>
      <c r="R367" s="9" t="n">
        <f aca="false">(Q367-Q366)/Q366</f>
        <v>0.0816326530612246</v>
      </c>
      <c r="S367" s="10" t="n">
        <v>3.83</v>
      </c>
      <c r="T367" s="9" t="n">
        <f aca="false">(S367-S366)/S366</f>
        <v>0.0186170212765958</v>
      </c>
      <c r="U367" s="13" t="n">
        <v>3.75</v>
      </c>
      <c r="V367" s="9" t="n">
        <f aca="false">(U367-U366)/U366</f>
        <v>0.016260162601626</v>
      </c>
      <c r="W367" s="0" t="n">
        <v>1.4318</v>
      </c>
      <c r="X367" s="23" t="n">
        <f aca="false">(W367-W366)/W366</f>
        <v>-0.00748648273949823</v>
      </c>
      <c r="Y367" s="0" t="n">
        <v>1.482</v>
      </c>
      <c r="Z367" s="24" t="n">
        <f aca="false">(Y367-Y366)/Y366</f>
        <v>-0.0063694267515924</v>
      </c>
    </row>
    <row r="368" customFormat="false" ht="13.8" hidden="false" customHeight="false" outlineLevel="0" collapsed="false">
      <c r="A368" s="8" t="n">
        <v>40182</v>
      </c>
      <c r="B368" s="0" t="n">
        <v>47</v>
      </c>
      <c r="C368" s="9" t="n">
        <f aca="false">(B368-B367)/B367</f>
        <v>0.100444860688363</v>
      </c>
      <c r="D368" s="0" t="n">
        <v>18.13</v>
      </c>
      <c r="E368" s="9" t="n">
        <f aca="false">(D368-D367)/D367</f>
        <v>-0.163745387453875</v>
      </c>
      <c r="F368" s="0" t="n">
        <v>114.57</v>
      </c>
      <c r="G368" s="9" t="n">
        <f aca="false">(F368-F367)/F367</f>
        <v>0.0280868628858578</v>
      </c>
      <c r="H368" s="0" t="n">
        <f aca="false">AVERAGE(F354:F367)</f>
        <v>108.734285714286</v>
      </c>
      <c r="I368" s="0" t="n">
        <f aca="false">AVERAGE(F361:F367)</f>
        <v>110.75</v>
      </c>
      <c r="J368" s="0" t="n">
        <f aca="false">AVERAGE(F365:F367)</f>
        <v>111.376666666667</v>
      </c>
      <c r="K368" s="10" t="n">
        <v>79.07</v>
      </c>
      <c r="L368" s="9" t="n">
        <f aca="false">(K368-K367)/K367</f>
        <v>0.0576511503477794</v>
      </c>
      <c r="M368" s="10" t="n">
        <v>77.19</v>
      </c>
      <c r="N368" s="9" t="n">
        <f aca="false">(M368-M367)/M367</f>
        <v>0.0523517382413088</v>
      </c>
      <c r="O368" s="0" t="n">
        <v>2.16</v>
      </c>
      <c r="P368" s="9" t="n">
        <f aca="false">(O368-O367)/O367</f>
        <v>0.0236966824644549</v>
      </c>
      <c r="Q368" s="10" t="n">
        <v>0.44</v>
      </c>
      <c r="R368" s="9" t="n">
        <f aca="false">(Q368-Q367)/Q367</f>
        <v>-0.169811320754717</v>
      </c>
      <c r="S368" s="10" t="n">
        <v>3.83</v>
      </c>
      <c r="T368" s="9" t="n">
        <f aca="false">(S368-S367)/S367</f>
        <v>0</v>
      </c>
      <c r="U368" s="13" t="n">
        <v>3.77</v>
      </c>
      <c r="V368" s="9" t="n">
        <f aca="false">(U368-U367)/U367</f>
        <v>0.00533333333333334</v>
      </c>
      <c r="W368" s="0" t="n">
        <v>1.4318</v>
      </c>
      <c r="X368" s="23" t="n">
        <f aca="false">(W368-W367)/W367</f>
        <v>0</v>
      </c>
      <c r="Y368" s="0" t="n">
        <v>1.482</v>
      </c>
      <c r="Z368" s="24" t="n">
        <f aca="false">(Y368-Y367)/Y367</f>
        <v>0</v>
      </c>
    </row>
    <row r="369" customFormat="false" ht="13.8" hidden="false" customHeight="false" outlineLevel="0" collapsed="false">
      <c r="A369" s="8" t="n">
        <v>40189</v>
      </c>
      <c r="B369" s="0" t="n">
        <v>46.68</v>
      </c>
      <c r="C369" s="9" t="n">
        <f aca="false">(B369-B368)/B368</f>
        <v>-0.00680851063829788</v>
      </c>
      <c r="D369" s="0" t="n">
        <v>17.91</v>
      </c>
      <c r="E369" s="9" t="n">
        <f aca="false">(D369-D368)/D368</f>
        <v>-0.0121345835631549</v>
      </c>
      <c r="F369" s="0" t="n">
        <v>113.64</v>
      </c>
      <c r="G369" s="9" t="n">
        <f aca="false">(F369-F368)/F368</f>
        <v>-0.00811730819586273</v>
      </c>
      <c r="H369" s="0" t="n">
        <f aca="false">AVERAGE(F355:F368)</f>
        <v>109.597142857143</v>
      </c>
      <c r="I369" s="0" t="n">
        <f aca="false">AVERAGE(F362:F368)</f>
        <v>111.484285714286</v>
      </c>
      <c r="J369" s="0" t="n">
        <f aca="false">AVERAGE(F366:F368)</f>
        <v>112.83</v>
      </c>
      <c r="K369" s="10" t="n">
        <v>82.34</v>
      </c>
      <c r="L369" s="9" t="n">
        <f aca="false">(K369-K368)/K368</f>
        <v>0.041355760718351</v>
      </c>
      <c r="M369" s="10" t="n">
        <v>79.82</v>
      </c>
      <c r="N369" s="9" t="n">
        <f aca="false">(M369-M368)/M368</f>
        <v>0.0340717709547868</v>
      </c>
      <c r="O369" s="0" t="n">
        <v>2.12</v>
      </c>
      <c r="P369" s="9" t="n">
        <f aca="false">(O369-O368)/O368</f>
        <v>-0.0185185185185187</v>
      </c>
      <c r="Q369" s="10" t="n">
        <v>0.39</v>
      </c>
      <c r="R369" s="9" t="n">
        <f aca="false">(Q369-Q368)/Q368</f>
        <v>-0.113636363636364</v>
      </c>
      <c r="S369" s="10" t="n">
        <v>3.77</v>
      </c>
      <c r="T369" s="9" t="n">
        <f aca="false">(S369-S368)/S368</f>
        <v>-0.0156657963446475</v>
      </c>
      <c r="U369" s="13" t="n">
        <v>3.72</v>
      </c>
      <c r="V369" s="9" t="n">
        <f aca="false">(U369-U368)/U368</f>
        <v>-0.0132625994694961</v>
      </c>
      <c r="W369" s="0" t="n">
        <v>1.4411</v>
      </c>
      <c r="X369" s="23" t="n">
        <f aca="false">(W369-W368)/W368</f>
        <v>0.00649532057549943</v>
      </c>
      <c r="Y369" s="0" t="n">
        <v>1.4755</v>
      </c>
      <c r="Z369" s="24" t="n">
        <f aca="false">(Y369-Y368)/Y368</f>
        <v>-0.00438596491228067</v>
      </c>
    </row>
    <row r="370" customFormat="false" ht="13.8" hidden="false" customHeight="false" outlineLevel="0" collapsed="false">
      <c r="A370" s="8" t="n">
        <v>40197</v>
      </c>
      <c r="B370" s="0" t="n">
        <v>46.32</v>
      </c>
      <c r="C370" s="9" t="n">
        <f aca="false">(B370-B369)/B369</f>
        <v>-0.00771208226221078</v>
      </c>
      <c r="D370" s="0" t="n">
        <v>27.31</v>
      </c>
      <c r="E370" s="9" t="n">
        <f aca="false">(D370-D369)/D369</f>
        <v>0.524846454494696</v>
      </c>
      <c r="F370" s="0" t="n">
        <v>109.21</v>
      </c>
      <c r="G370" s="9" t="n">
        <f aca="false">(F370-F369)/F369</f>
        <v>-0.0389827525519184</v>
      </c>
      <c r="H370" s="0" t="n">
        <f aca="false">AVERAGE(F356:F369)</f>
        <v>110.052857142857</v>
      </c>
      <c r="I370" s="0" t="n">
        <f aca="false">AVERAGE(F363:F369)</f>
        <v>112.065714285714</v>
      </c>
      <c r="J370" s="0" t="n">
        <f aca="false">AVERAGE(F367:F369)</f>
        <v>113.216666666667</v>
      </c>
      <c r="K370" s="10" t="n">
        <v>80.06</v>
      </c>
      <c r="L370" s="9" t="n">
        <f aca="false">(K370-K369)/K369</f>
        <v>-0.0276900655817343</v>
      </c>
      <c r="M370" s="10" t="n">
        <v>78.31</v>
      </c>
      <c r="N370" s="9" t="n">
        <f aca="false">(M370-M369)/M369</f>
        <v>-0.0189175645201703</v>
      </c>
      <c r="O370" s="0" t="n">
        <v>2.03</v>
      </c>
      <c r="P370" s="9" t="n">
        <f aca="false">(O370-O369)/O369</f>
        <v>-0.0424528301886792</v>
      </c>
      <c r="Q370" s="10" t="n">
        <v>0.39</v>
      </c>
      <c r="R370" s="9" t="n">
        <f aca="false">(Q370-Q369)/Q369</f>
        <v>0</v>
      </c>
      <c r="S370" s="10" t="n">
        <v>3.66</v>
      </c>
      <c r="T370" s="9" t="n">
        <f aca="false">(S370-S369)/S369</f>
        <v>-0.0291777188328912</v>
      </c>
      <c r="U370" s="13" t="n">
        <v>3.6</v>
      </c>
      <c r="V370" s="9" t="n">
        <f aca="false">(U370-U369)/U369</f>
        <v>-0.0322580645161289</v>
      </c>
      <c r="W370" s="0" t="n">
        <v>1.4375</v>
      </c>
      <c r="X370" s="23" t="n">
        <f aca="false">(W370-W369)/W369</f>
        <v>-0.00249809173547987</v>
      </c>
      <c r="Y370" s="0" t="n">
        <v>1.4764</v>
      </c>
      <c r="Z370" s="24" t="n">
        <f aca="false">(Y370-Y369)/Y369</f>
        <v>0.000609962724500102</v>
      </c>
    </row>
    <row r="371" customFormat="false" ht="13.8" hidden="false" customHeight="false" outlineLevel="0" collapsed="false">
      <c r="A371" s="8" t="n">
        <v>40203</v>
      </c>
      <c r="B371" s="0" t="n">
        <v>46.54</v>
      </c>
      <c r="C371" s="9" t="n">
        <f aca="false">(B371-B370)/B370</f>
        <v>0.00474956822107079</v>
      </c>
      <c r="D371" s="0" t="n">
        <v>24.62</v>
      </c>
      <c r="E371" s="9" t="n">
        <f aca="false">(D371-D370)/D370</f>
        <v>-0.0984987184181618</v>
      </c>
      <c r="F371" s="0" t="n">
        <v>107.39</v>
      </c>
      <c r="G371" s="9" t="n">
        <f aca="false">(F371-F370)/F370</f>
        <v>-0.0166651405548942</v>
      </c>
      <c r="H371" s="0" t="n">
        <f aca="false">AVERAGE(F357:F370)</f>
        <v>110.075714285714</v>
      </c>
      <c r="I371" s="0" t="n">
        <f aca="false">AVERAGE(F364:F370)</f>
        <v>111.808571428571</v>
      </c>
      <c r="J371" s="0" t="n">
        <f aca="false">AVERAGE(F368:F370)</f>
        <v>112.473333333333</v>
      </c>
      <c r="K371" s="10" t="n">
        <v>76.62</v>
      </c>
      <c r="L371" s="9" t="n">
        <f aca="false">(K371-K370)/K370</f>
        <v>-0.0429677741693729</v>
      </c>
      <c r="M371" s="10" t="n">
        <v>74.28</v>
      </c>
      <c r="N371" s="9" t="n">
        <f aca="false">(M371-M370)/M370</f>
        <v>-0.0514621376580258</v>
      </c>
      <c r="O371" s="0" t="n">
        <v>1.95</v>
      </c>
      <c r="P371" s="9" t="n">
        <f aca="false">(O371-O370)/O370</f>
        <v>-0.0394088669950737</v>
      </c>
      <c r="Q371" s="10" t="n">
        <v>0.44</v>
      </c>
      <c r="R371" s="9" t="n">
        <f aca="false">(Q371-Q370)/Q370</f>
        <v>0.128205128205128</v>
      </c>
      <c r="S371" s="10" t="n">
        <v>3.66</v>
      </c>
      <c r="T371" s="9" t="n">
        <f aca="false">(S371-S370)/S370</f>
        <v>0</v>
      </c>
      <c r="U371" s="13" t="n">
        <v>3.59</v>
      </c>
      <c r="V371" s="9" t="n">
        <f aca="false">(U371-U370)/U370</f>
        <v>-0.00277777777777772</v>
      </c>
      <c r="W371" s="0" t="n">
        <v>1.414</v>
      </c>
      <c r="X371" s="23" t="n">
        <f aca="false">(W371-W370)/W370</f>
        <v>-0.0163478260869566</v>
      </c>
      <c r="Y371" s="0" t="n">
        <v>1.4724</v>
      </c>
      <c r="Z371" s="24" t="n">
        <f aca="false">(Y371-Y370)/Y370</f>
        <v>-0.00270929287455974</v>
      </c>
    </row>
    <row r="372" customFormat="false" ht="13.8" hidden="false" customHeight="false" outlineLevel="0" collapsed="false">
      <c r="A372" s="8" t="n">
        <v>40210</v>
      </c>
      <c r="B372" s="0" t="n">
        <v>44.8</v>
      </c>
      <c r="C372" s="9" t="n">
        <f aca="false">(B372-B371)/B371</f>
        <v>-0.0373871938117749</v>
      </c>
      <c r="D372" s="0" t="n">
        <v>26.11</v>
      </c>
      <c r="E372" s="9" t="n">
        <f aca="false">(D372-D371)/D371</f>
        <v>0.0605199025182778</v>
      </c>
      <c r="F372" s="0" t="n">
        <v>106.66</v>
      </c>
      <c r="G372" s="9" t="n">
        <f aca="false">(F372-F371)/F371</f>
        <v>-0.00679765341279452</v>
      </c>
      <c r="H372" s="0" t="n">
        <f aca="false">AVERAGE(F358:F371)</f>
        <v>110.026428571429</v>
      </c>
      <c r="I372" s="0" t="n">
        <f aca="false">AVERAGE(F365:F371)</f>
        <v>111.277142857143</v>
      </c>
      <c r="J372" s="0" t="n">
        <f aca="false">AVERAGE(F369:F371)</f>
        <v>110.08</v>
      </c>
      <c r="K372" s="10" t="n">
        <v>73.94</v>
      </c>
      <c r="L372" s="9" t="n">
        <f aca="false">(K372-K371)/K371</f>
        <v>-0.0349778125815715</v>
      </c>
      <c r="M372" s="10" t="n">
        <v>71.88</v>
      </c>
      <c r="N372" s="9" t="n">
        <f aca="false">(M372-M371)/M371</f>
        <v>-0.0323101777059775</v>
      </c>
      <c r="O372" s="0" t="n">
        <v>1.98</v>
      </c>
      <c r="P372" s="9" t="n">
        <f aca="false">(O372-O371)/O371</f>
        <v>0.0153846153846153</v>
      </c>
      <c r="Q372" s="10" t="n">
        <v>0.35</v>
      </c>
      <c r="R372" s="9" t="n">
        <f aca="false">(Q372-Q371)/Q371</f>
        <v>-0.204545454545454</v>
      </c>
      <c r="S372" s="10" t="n">
        <v>3.66</v>
      </c>
      <c r="T372" s="9" t="n">
        <f aca="false">(S372-S371)/S371</f>
        <v>0</v>
      </c>
      <c r="U372" s="13" t="n">
        <v>3.56</v>
      </c>
      <c r="V372" s="9" t="n">
        <f aca="false">(U372-U371)/U371</f>
        <v>-0.00835654596100285</v>
      </c>
      <c r="W372" s="0" t="n">
        <v>1.3867</v>
      </c>
      <c r="X372" s="23" t="n">
        <f aca="false">(W372-W371)/W371</f>
        <v>-0.0193069306930692</v>
      </c>
      <c r="Y372" s="0" t="n">
        <v>1.4705</v>
      </c>
      <c r="Z372" s="24" t="n">
        <f aca="false">(Y372-Y371)/Y371</f>
        <v>-0.0012904102146156</v>
      </c>
    </row>
    <row r="373" customFormat="false" ht="13.8" hidden="false" customHeight="false" outlineLevel="0" collapsed="false">
      <c r="A373" s="8" t="n">
        <v>40217</v>
      </c>
      <c r="B373" s="0" t="n">
        <v>44.69</v>
      </c>
      <c r="C373" s="9" t="n">
        <f aca="false">(B373-B372)/B372</f>
        <v>-0.00245535714285713</v>
      </c>
      <c r="D373" s="0" t="n">
        <v>22.73</v>
      </c>
      <c r="E373" s="9" t="n">
        <f aca="false">(D373-D372)/D372</f>
        <v>-0.129452317119877</v>
      </c>
      <c r="F373" s="0" t="n">
        <v>108.04</v>
      </c>
      <c r="G373" s="9" t="n">
        <f aca="false">(F373-F372)/F372</f>
        <v>0.0129383086442904</v>
      </c>
      <c r="H373" s="0" t="n">
        <f aca="false">AVERAGE(F359:F372)</f>
        <v>110.247857142857</v>
      </c>
      <c r="I373" s="0" t="n">
        <f aca="false">AVERAGE(F366:F372)</f>
        <v>110.77</v>
      </c>
      <c r="J373" s="0" t="n">
        <f aca="false">AVERAGE(F370:F372)</f>
        <v>107.753333333333</v>
      </c>
      <c r="K373" s="10" t="n">
        <v>74.57</v>
      </c>
      <c r="L373" s="9" t="n">
        <f aca="false">(K373-K372)/K372</f>
        <v>0.00852042196375433</v>
      </c>
      <c r="M373" s="10" t="n">
        <v>72.54</v>
      </c>
      <c r="N373" s="9" t="n">
        <f aca="false">(M373-M372)/M372</f>
        <v>0.00918196994991668</v>
      </c>
      <c r="O373" s="0" t="n">
        <v>1.95</v>
      </c>
      <c r="P373" s="9" t="n">
        <f aca="false">(O373-O372)/O372</f>
        <v>-0.0151515151515153</v>
      </c>
      <c r="Q373" s="10" t="n">
        <v>0.39</v>
      </c>
      <c r="R373" s="9" t="n">
        <f aca="false">(Q373-Q372)/Q372</f>
        <v>0.114285714285714</v>
      </c>
      <c r="S373" s="10" t="n">
        <v>3.69</v>
      </c>
      <c r="T373" s="9" t="n">
        <f aca="false">(S373-S372)/S372</f>
        <v>0.00819672131147536</v>
      </c>
      <c r="U373" s="13" t="n">
        <v>3.58</v>
      </c>
      <c r="V373" s="9" t="n">
        <f aca="false">(U373-U372)/U372</f>
        <v>0.00561797752808989</v>
      </c>
      <c r="W373" s="0" t="n">
        <v>1.3652</v>
      </c>
      <c r="X373" s="23" t="n">
        <f aca="false">(W373-W372)/W372</f>
        <v>-0.0155044349895436</v>
      </c>
      <c r="Y373" s="0" t="n">
        <v>1.4659</v>
      </c>
      <c r="Z373" s="24" t="n">
        <f aca="false">(Y373-Y372)/Y372</f>
        <v>-0.00312818769126143</v>
      </c>
    </row>
    <row r="374" customFormat="false" ht="13.8" hidden="false" customHeight="false" outlineLevel="0" collapsed="false">
      <c r="A374" s="8" t="n">
        <v>40225</v>
      </c>
      <c r="B374" s="0" t="n">
        <v>46.66</v>
      </c>
      <c r="C374" s="9" t="n">
        <f aca="false">(B374-B373)/B373</f>
        <v>0.0440814499888118</v>
      </c>
      <c r="D374" s="0" t="n">
        <v>20.02</v>
      </c>
      <c r="E374" s="9" t="n">
        <f aca="false">(D374-D373)/D373</f>
        <v>-0.11922569291685</v>
      </c>
      <c r="F374" s="0" t="n">
        <v>111.14</v>
      </c>
      <c r="G374" s="9" t="n">
        <f aca="false">(F374-F373)/F373</f>
        <v>0.0286930766382821</v>
      </c>
      <c r="H374" s="0" t="n">
        <f aca="false">AVERAGE(F360:F373)</f>
        <v>110.312857142857</v>
      </c>
      <c r="I374" s="0" t="n">
        <f aca="false">AVERAGE(F367:F373)</f>
        <v>110.135714285714</v>
      </c>
      <c r="J374" s="0" t="n">
        <f aca="false">AVERAGE(F371:F373)</f>
        <v>107.363333333333</v>
      </c>
      <c r="K374" s="10" t="n">
        <v>73.88</v>
      </c>
      <c r="L374" s="9" t="n">
        <f aca="false">(K374-K373)/K373</f>
        <v>-0.00925305082472841</v>
      </c>
      <c r="M374" s="10" t="n">
        <v>70.85</v>
      </c>
      <c r="N374" s="9" t="n">
        <f aca="false">(M374-M373)/M373</f>
        <v>-0.0232974910394267</v>
      </c>
      <c r="O374" s="0" t="n">
        <v>1.99</v>
      </c>
      <c r="P374" s="9" t="n">
        <f aca="false">(O374-O373)/O373</f>
        <v>0.0205128205128206</v>
      </c>
      <c r="Q374" s="10" t="n">
        <v>0.43</v>
      </c>
      <c r="R374" s="9" t="n">
        <f aca="false">(Q374-Q373)/Q373</f>
        <v>0.102564102564102</v>
      </c>
      <c r="S374" s="10" t="n">
        <v>3.74</v>
      </c>
      <c r="T374" s="9" t="n">
        <f aca="false">(S374-S373)/S373</f>
        <v>0.0135501355013551</v>
      </c>
      <c r="U374" s="13" t="n">
        <v>3.64</v>
      </c>
      <c r="V374" s="9" t="n">
        <f aca="false">(U374-U373)/U373</f>
        <v>0.0167597765363129</v>
      </c>
      <c r="W374" s="0" t="n">
        <v>1.3609</v>
      </c>
      <c r="X374" s="23" t="n">
        <f aca="false">(W374-W373)/W373</f>
        <v>-0.00314972165250511</v>
      </c>
      <c r="Y374" s="0" t="n">
        <v>1.4659</v>
      </c>
      <c r="Z374" s="24" t="n">
        <f aca="false">(Y374-Y373)/Y373</f>
        <v>0</v>
      </c>
    </row>
    <row r="375" customFormat="false" ht="13.8" hidden="false" customHeight="false" outlineLevel="0" collapsed="false">
      <c r="A375" s="8" t="n">
        <v>40231</v>
      </c>
      <c r="B375" s="0" t="n">
        <v>47.45</v>
      </c>
      <c r="C375" s="9" t="n">
        <f aca="false">(B375-B374)/B374</f>
        <v>0.0169309901414489</v>
      </c>
      <c r="D375" s="0" t="n">
        <v>19.5</v>
      </c>
      <c r="E375" s="9" t="n">
        <f aca="false">(D375-D374)/D374</f>
        <v>-0.025974025974026</v>
      </c>
      <c r="F375" s="0" t="n">
        <v>110.74</v>
      </c>
      <c r="G375" s="9" t="n">
        <f aca="false">(F375-F374)/F374</f>
        <v>-0.00359906424329679</v>
      </c>
      <c r="H375" s="0" t="n">
        <f aca="false">AVERAGE(F361:F374)</f>
        <v>110.421428571429</v>
      </c>
      <c r="I375" s="0" t="n">
        <f aca="false">AVERAGE(F368:F374)</f>
        <v>110.092857142857</v>
      </c>
      <c r="J375" s="0" t="n">
        <f aca="false">AVERAGE(F372:F374)</f>
        <v>108.613333333333</v>
      </c>
      <c r="K375" s="10" t="n">
        <v>78.25</v>
      </c>
      <c r="L375" s="9" t="n">
        <f aca="false">(K375-K374)/K374</f>
        <v>0.0591499729290742</v>
      </c>
      <c r="M375" s="10" t="n">
        <v>75.8</v>
      </c>
      <c r="N375" s="9" t="n">
        <f aca="false">(M375-M374)/M374</f>
        <v>0.0698659139026112</v>
      </c>
      <c r="O375" s="0" t="n">
        <v>1.87</v>
      </c>
      <c r="P375" s="9" t="n">
        <f aca="false">(O375-O374)/O374</f>
        <v>-0.0603015075376884</v>
      </c>
      <c r="Q375" s="10" t="n">
        <v>0.5</v>
      </c>
      <c r="R375" s="9" t="n">
        <f aca="false">(Q375-Q374)/Q374</f>
        <v>0.162790697674419</v>
      </c>
      <c r="S375" s="10" t="n">
        <v>3.69</v>
      </c>
      <c r="T375" s="9" t="n">
        <f aca="false">(S375-S374)/S374</f>
        <v>-0.0133689839572193</v>
      </c>
      <c r="U375" s="13" t="n">
        <v>3.57</v>
      </c>
      <c r="V375" s="9" t="n">
        <f aca="false">(U375-U374)/U374</f>
        <v>-0.0192307692307692</v>
      </c>
      <c r="W375" s="0" t="n">
        <v>1.359</v>
      </c>
      <c r="X375" s="23" t="n">
        <f aca="false">(W375-W374)/W374</f>
        <v>-0.00139613491072086</v>
      </c>
      <c r="Y375" s="0" t="n">
        <v>1.4641</v>
      </c>
      <c r="Z375" s="24" t="n">
        <f aca="false">(Y375-Y374)/Y374</f>
        <v>-0.00122791459171841</v>
      </c>
    </row>
    <row r="376" customFormat="false" ht="13.8" hidden="false" customHeight="false" outlineLevel="0" collapsed="false">
      <c r="A376" s="8" t="n">
        <v>40238</v>
      </c>
      <c r="B376" s="0" t="n">
        <v>48.61</v>
      </c>
      <c r="C376" s="9" t="n">
        <f aca="false">(B376-B375)/B375</f>
        <v>0.0244467860906216</v>
      </c>
      <c r="D376" s="0" t="n">
        <v>17.42</v>
      </c>
      <c r="E376" s="9" t="n">
        <f aca="false">(D376-D375)/D375</f>
        <v>-0.106666666666667</v>
      </c>
      <c r="F376" s="0" t="n">
        <v>114.25</v>
      </c>
      <c r="G376" s="9" t="n">
        <f aca="false">(F376-F375)/F375</f>
        <v>0.0316958641863826</v>
      </c>
      <c r="H376" s="0" t="n">
        <f aca="false">AVERAGE(F362:F375)</f>
        <v>110.515</v>
      </c>
      <c r="I376" s="0" t="n">
        <f aca="false">AVERAGE(F369:F375)</f>
        <v>109.545714285714</v>
      </c>
      <c r="J376" s="0" t="n">
        <f aca="false">AVERAGE(F373:F375)</f>
        <v>109.973333333333</v>
      </c>
      <c r="K376" s="10" t="n">
        <v>79.22</v>
      </c>
      <c r="L376" s="9" t="n">
        <f aca="false">(K376-K375)/K375</f>
        <v>0.0123961661341853</v>
      </c>
      <c r="M376" s="10" t="n">
        <v>76.23</v>
      </c>
      <c r="N376" s="9" t="n">
        <f aca="false">(M376-M375)/M375</f>
        <v>0.00567282321899745</v>
      </c>
      <c r="O376" s="0" t="n">
        <v>1.85</v>
      </c>
      <c r="P376" s="9" t="n">
        <f aca="false">(O376-O375)/O375</f>
        <v>-0.0106951871657754</v>
      </c>
      <c r="Q376" s="10" t="n">
        <v>0.44</v>
      </c>
      <c r="R376" s="9" t="n">
        <f aca="false">(Q376-Q375)/Q375</f>
        <v>-0.12</v>
      </c>
      <c r="S376" s="10" t="n">
        <v>3.63</v>
      </c>
      <c r="T376" s="9" t="n">
        <f aca="false">(S376-S375)/S375</f>
        <v>-0.016260162601626</v>
      </c>
      <c r="U376" s="13" t="n">
        <v>3.49</v>
      </c>
      <c r="V376" s="9" t="n">
        <f aca="false">(U376-U375)/U375</f>
        <v>-0.0224089635854343</v>
      </c>
      <c r="W376" s="0" t="n">
        <v>1.3613</v>
      </c>
      <c r="X376" s="23" t="n">
        <f aca="false">(W376-W375)/W375</f>
        <v>0.00169242089771889</v>
      </c>
      <c r="Y376" s="0" t="n">
        <v>1.4628</v>
      </c>
      <c r="Z376" s="24" t="n">
        <f aca="false">(Y376-Y375)/Y375</f>
        <v>-0.000887917491974494</v>
      </c>
    </row>
    <row r="377" customFormat="false" ht="13.8" hidden="false" customHeight="false" outlineLevel="0" collapsed="false">
      <c r="A377" s="8" t="n">
        <v>40245</v>
      </c>
      <c r="B377" s="0" t="n">
        <v>50.46</v>
      </c>
      <c r="C377" s="9" t="n">
        <f aca="false">(B377-B376)/B376</f>
        <v>0.0380580127545773</v>
      </c>
      <c r="D377" s="0" t="n">
        <v>17.58</v>
      </c>
      <c r="E377" s="9" t="n">
        <f aca="false">(D377-D376)/D376</f>
        <v>0.00918484500574033</v>
      </c>
      <c r="F377" s="0" t="n">
        <v>115.46</v>
      </c>
      <c r="G377" s="9" t="n">
        <f aca="false">(F377-F376)/F376</f>
        <v>0.0105908096280087</v>
      </c>
      <c r="H377" s="0" t="n">
        <f aca="false">AVERAGE(F363:F376)</f>
        <v>110.849285714286</v>
      </c>
      <c r="I377" s="0" t="n">
        <f aca="false">AVERAGE(F370:F376)</f>
        <v>109.632857142857</v>
      </c>
      <c r="J377" s="0" t="n">
        <f aca="false">AVERAGE(F374:F376)</f>
        <v>112.043333333333</v>
      </c>
      <c r="K377" s="10" t="n">
        <v>80.19</v>
      </c>
      <c r="L377" s="9" t="n">
        <f aca="false">(K377-K376)/K376</f>
        <v>0.0122443827316334</v>
      </c>
      <c r="M377" s="10" t="n">
        <v>77.86</v>
      </c>
      <c r="N377" s="9" t="n">
        <f aca="false">(M377-M376)/M376</f>
        <v>0.0213826577462941</v>
      </c>
      <c r="O377" s="0" t="n">
        <v>1.9</v>
      </c>
      <c r="P377" s="9" t="n">
        <f aca="false">(O377-O376)/O376</f>
        <v>0.027027027027027</v>
      </c>
      <c r="Q377" s="10" t="n">
        <v>0.49</v>
      </c>
      <c r="R377" s="9" t="n">
        <f aca="false">(Q377-Q376)/Q376</f>
        <v>0.113636363636364</v>
      </c>
      <c r="S377" s="10" t="n">
        <v>3.72</v>
      </c>
      <c r="T377" s="9" t="n">
        <f aca="false">(S377-S376)/S376</f>
        <v>0.024793388429752</v>
      </c>
      <c r="U377" s="13" t="n">
        <v>3.56</v>
      </c>
      <c r="V377" s="9" t="n">
        <f aca="false">(U377-U376)/U376</f>
        <v>0.020057306590258</v>
      </c>
      <c r="W377" s="0" t="n">
        <v>1.3624</v>
      </c>
      <c r="X377" s="23" t="n">
        <f aca="false">(W377-W376)/W376</f>
        <v>0.000808051127598693</v>
      </c>
      <c r="Y377" s="0" t="n">
        <v>1.4632</v>
      </c>
      <c r="Z377" s="24" t="n">
        <f aca="false">(Y377-Y376)/Y376</f>
        <v>0.000273448181569562</v>
      </c>
    </row>
    <row r="378" customFormat="false" ht="13.8" hidden="false" customHeight="false" outlineLevel="0" collapsed="false">
      <c r="A378" s="8" t="n">
        <v>40252</v>
      </c>
      <c r="B378" s="0" t="n">
        <v>51.13</v>
      </c>
      <c r="C378" s="9" t="n">
        <f aca="false">(B378-B377)/B377</f>
        <v>0.0132778438367024</v>
      </c>
      <c r="D378" s="0" t="n">
        <v>16.97</v>
      </c>
      <c r="E378" s="9" t="n">
        <f aca="false">(D378-D377)/D377</f>
        <v>-0.0346985210466439</v>
      </c>
      <c r="F378" s="0" t="n">
        <v>115.97</v>
      </c>
      <c r="G378" s="9" t="n">
        <f aca="false">(F378-F377)/F377</f>
        <v>0.00441711415208735</v>
      </c>
      <c r="H378" s="0" t="n">
        <f aca="false">AVERAGE(F364:F377)</f>
        <v>111.167142857143</v>
      </c>
      <c r="I378" s="0" t="n">
        <f aca="false">AVERAGE(F371:F377)</f>
        <v>110.525714285714</v>
      </c>
      <c r="J378" s="0" t="n">
        <f aca="false">AVERAGE(F375:F377)</f>
        <v>113.483333333333</v>
      </c>
      <c r="K378" s="10" t="n">
        <v>81.76</v>
      </c>
      <c r="L378" s="9" t="n">
        <f aca="false">(K378-K377)/K377</f>
        <v>0.0195785010599826</v>
      </c>
      <c r="M378" s="10" t="n">
        <v>79.36</v>
      </c>
      <c r="N378" s="9" t="n">
        <f aca="false">(M378-M377)/M377</f>
        <v>0.0192653480606216</v>
      </c>
      <c r="O378" s="0" t="n">
        <v>1.92</v>
      </c>
      <c r="P378" s="9" t="n">
        <f aca="false">(O378-O377)/O377</f>
        <v>0.0105263157894736</v>
      </c>
      <c r="Q378" s="10" t="n">
        <v>0.5</v>
      </c>
      <c r="R378" s="9" t="n">
        <f aca="false">(Q378-Q377)/Q377</f>
        <v>0.0204081632653061</v>
      </c>
      <c r="S378" s="10" t="n">
        <v>3.68</v>
      </c>
      <c r="T378" s="9" t="n">
        <f aca="false">(S378-S377)/S377</f>
        <v>-0.0107526881720429</v>
      </c>
      <c r="U378" s="13" t="n">
        <v>3.52</v>
      </c>
      <c r="V378" s="9" t="n">
        <f aca="false">(U378-U377)/U377</f>
        <v>-0.0112359550561798</v>
      </c>
      <c r="W378" s="0" t="n">
        <v>1.3758</v>
      </c>
      <c r="X378" s="23" t="n">
        <f aca="false">(W378-W377)/W377</f>
        <v>0.00983558426306507</v>
      </c>
      <c r="Y378" s="0" t="n">
        <v>1.4563</v>
      </c>
      <c r="Z378" s="24" t="n">
        <f aca="false">(Y378-Y377)/Y377</f>
        <v>-0.00471569163477319</v>
      </c>
    </row>
    <row r="379" customFormat="false" ht="13.8" hidden="false" customHeight="false" outlineLevel="0" collapsed="false">
      <c r="A379" s="8" t="n">
        <v>40259</v>
      </c>
      <c r="B379" s="0" t="n">
        <v>52.3</v>
      </c>
      <c r="C379" s="9" t="n">
        <f aca="false">(B379-B378)/B378</f>
        <v>0.0228828476432622</v>
      </c>
      <c r="D379" s="0" t="n">
        <v>17.77</v>
      </c>
      <c r="E379" s="9" t="n">
        <f aca="false">(D379-D378)/D378</f>
        <v>0.047142015321155</v>
      </c>
      <c r="F379" s="0" t="n">
        <v>116.58</v>
      </c>
      <c r="G379" s="9" t="n">
        <f aca="false">(F379-F378)/F378</f>
        <v>0.00525998102957661</v>
      </c>
      <c r="H379" s="0" t="n">
        <f aca="false">AVERAGE(F365:F378)</f>
        <v>111.514285714286</v>
      </c>
      <c r="I379" s="0" t="n">
        <f aca="false">AVERAGE(F372:F378)</f>
        <v>111.751428571429</v>
      </c>
      <c r="J379" s="0" t="n">
        <f aca="false">AVERAGE(F376:F378)</f>
        <v>115.226666666667</v>
      </c>
      <c r="K379" s="10" t="n">
        <v>81.44</v>
      </c>
      <c r="L379" s="9" t="n">
        <f aca="false">(K379-K378)/K378</f>
        <v>-0.00391389432485332</v>
      </c>
      <c r="M379" s="10" t="n">
        <v>79.05</v>
      </c>
      <c r="N379" s="9" t="n">
        <f aca="false">(M379-M378)/M378</f>
        <v>-0.00390625000000003</v>
      </c>
      <c r="O379" s="0" t="n">
        <v>1.85</v>
      </c>
      <c r="P379" s="9" t="n">
        <f aca="false">(O379-O378)/O378</f>
        <v>-0.0364583333333334</v>
      </c>
      <c r="Q379" s="10" t="n">
        <v>0.7</v>
      </c>
      <c r="R379" s="9" t="n">
        <f aca="false">(Q379-Q378)/Q378</f>
        <v>0.4</v>
      </c>
      <c r="S379" s="10" t="n">
        <v>3.79</v>
      </c>
      <c r="T379" s="9" t="n">
        <f aca="false">(S379-S378)/S378</f>
        <v>0.0298913043478261</v>
      </c>
      <c r="U379" s="13" t="n">
        <v>3.65</v>
      </c>
      <c r="V379" s="9" t="n">
        <f aca="false">(U379-U378)/U378</f>
        <v>0.0369318181818181</v>
      </c>
      <c r="W379" s="0" t="n">
        <v>1.3531</v>
      </c>
      <c r="X379" s="23" t="n">
        <f aca="false">(W379-W378)/W378</f>
        <v>-0.016499491205117</v>
      </c>
      <c r="Y379" s="0" t="n">
        <v>1.4349</v>
      </c>
      <c r="Z379" s="24" t="n">
        <f aca="false">(Y379-Y378)/Y378</f>
        <v>-0.0146947744283457</v>
      </c>
    </row>
    <row r="380" customFormat="false" ht="13.8" hidden="false" customHeight="false" outlineLevel="0" collapsed="false">
      <c r="A380" s="8" t="n">
        <v>40266</v>
      </c>
      <c r="B380" s="0" t="n">
        <v>52.44</v>
      </c>
      <c r="C380" s="9" t="n">
        <f aca="false">(B380-B379)/B379</f>
        <v>0.00267686424474188</v>
      </c>
      <c r="D380" s="0" t="n">
        <v>17.47</v>
      </c>
      <c r="E380" s="9" t="n">
        <f aca="false">(D380-D379)/D379</f>
        <v>-0.0168823860438942</v>
      </c>
      <c r="F380" s="0" t="n">
        <v>117.8</v>
      </c>
      <c r="G380" s="9" t="n">
        <f aca="false">(F380-F379)/F379</f>
        <v>0.0104649167953337</v>
      </c>
      <c r="H380" s="0" t="n">
        <f aca="false">AVERAGE(F366:F379)</f>
        <v>111.969285714286</v>
      </c>
      <c r="I380" s="0" t="n">
        <f aca="false">AVERAGE(F373:F379)</f>
        <v>113.168571428571</v>
      </c>
      <c r="J380" s="0" t="n">
        <f aca="false">AVERAGE(F377:F379)</f>
        <v>116.003333333333</v>
      </c>
      <c r="K380" s="10" t="n">
        <v>80.65</v>
      </c>
      <c r="L380" s="9" t="n">
        <f aca="false">(K380-K379)/K379</f>
        <v>-0.00970039292730835</v>
      </c>
      <c r="M380" s="10" t="n">
        <v>78.38</v>
      </c>
      <c r="N380" s="9" t="n">
        <f aca="false">(M380-M379)/M379</f>
        <v>-0.00847564832384569</v>
      </c>
      <c r="O380" s="0" t="n">
        <v>1.84</v>
      </c>
      <c r="P380" s="9" t="n">
        <f aca="false">(O380-O379)/O379</f>
        <v>-0.00540540540540541</v>
      </c>
      <c r="Q380" s="10" t="n">
        <v>0.76</v>
      </c>
      <c r="R380" s="9" t="n">
        <f aca="false">(Q380-Q379)/Q379</f>
        <v>0.0857142857142856</v>
      </c>
      <c r="S380" s="10" t="n">
        <v>3.89</v>
      </c>
      <c r="T380" s="9" t="n">
        <f aca="false">(S380-S379)/S379</f>
        <v>0.0263852242744064</v>
      </c>
      <c r="U380" s="13" t="n">
        <v>3.73</v>
      </c>
      <c r="V380" s="9" t="n">
        <f aca="false">(U380-U379)/U379</f>
        <v>0.0219178082191781</v>
      </c>
      <c r="W380" s="0" t="n">
        <v>1.3423</v>
      </c>
      <c r="X380" s="23" t="n">
        <f aca="false">(W380-W379)/W379</f>
        <v>-0.0079816717167984</v>
      </c>
      <c r="Y380" s="0" t="n">
        <v>1.4297</v>
      </c>
      <c r="Z380" s="24" t="n">
        <f aca="false">(Y380-Y379)/Y379</f>
        <v>-0.00362394591957634</v>
      </c>
    </row>
    <row r="381" customFormat="false" ht="13.8" hidden="false" customHeight="false" outlineLevel="0" collapsed="false">
      <c r="A381" s="8" t="n">
        <v>40273</v>
      </c>
      <c r="B381" s="0" t="n">
        <v>55.31</v>
      </c>
      <c r="C381" s="9" t="n">
        <f aca="false">(B381-B380)/B380</f>
        <v>0.0547292143401984</v>
      </c>
      <c r="D381" s="0" t="n">
        <v>16.14</v>
      </c>
      <c r="E381" s="9" t="n">
        <f aca="false">(D381-D380)/D380</f>
        <v>-0.0761305094447624</v>
      </c>
      <c r="F381" s="0" t="n">
        <v>119.55</v>
      </c>
      <c r="G381" s="9" t="n">
        <f aca="false">(F381-F380)/F380</f>
        <v>0.0148556876061121</v>
      </c>
      <c r="H381" s="0" t="n">
        <f aca="false">AVERAGE(F367:F380)</f>
        <v>112.349285714286</v>
      </c>
      <c r="I381" s="0" t="n">
        <f aca="false">AVERAGE(F374:F380)</f>
        <v>114.562857142857</v>
      </c>
      <c r="J381" s="0" t="n">
        <f aca="false">AVERAGE(F378:F380)</f>
        <v>116.783333333333</v>
      </c>
      <c r="K381" s="10" t="n">
        <v>83.01</v>
      </c>
      <c r="L381" s="9" t="n">
        <f aca="false">(K381-K380)/K380</f>
        <v>0.0292622442653441</v>
      </c>
      <c r="M381" s="10" t="n">
        <v>80.59</v>
      </c>
      <c r="N381" s="9" t="n">
        <f aca="false">(M381-M380)/M380</f>
        <v>0.0281959683592754</v>
      </c>
      <c r="O381" s="0" t="n">
        <v>1.98</v>
      </c>
      <c r="P381" s="9" t="n">
        <f aca="false">(O381-O380)/O380</f>
        <v>0.0760869565217392</v>
      </c>
      <c r="Q381" s="10" t="n">
        <v>0.69</v>
      </c>
      <c r="R381" s="9" t="n">
        <f aca="false">(Q381-Q380)/Q380</f>
        <v>-0.0921052631578947</v>
      </c>
      <c r="S381" s="10" t="n">
        <v>3.94</v>
      </c>
      <c r="T381" s="9" t="n">
        <f aca="false">(S381-S380)/S380</f>
        <v>0.0128534704370179</v>
      </c>
      <c r="U381" s="13" t="n">
        <v>3.77</v>
      </c>
      <c r="V381" s="9" t="n">
        <f aca="false">(U381-U380)/U380</f>
        <v>0.0107238605898123</v>
      </c>
      <c r="W381" s="0" t="n">
        <v>1.3485</v>
      </c>
      <c r="X381" s="23" t="n">
        <f aca="false">(W381-W380)/W380</f>
        <v>0.00461893764434179</v>
      </c>
      <c r="Y381" s="0" t="n">
        <v>1.4346</v>
      </c>
      <c r="Z381" s="24" t="n">
        <f aca="false">(Y381-Y380)/Y380</f>
        <v>0.0034272924389733</v>
      </c>
    </row>
    <row r="382" customFormat="false" ht="13.8" hidden="false" customHeight="false" outlineLevel="0" collapsed="false">
      <c r="A382" s="8" t="n">
        <v>40280</v>
      </c>
      <c r="B382" s="0" t="n">
        <v>54.75</v>
      </c>
      <c r="C382" s="9" t="n">
        <f aca="false">(B382-B381)/B381</f>
        <v>-0.0101247514011933</v>
      </c>
      <c r="D382" s="0" t="n">
        <v>18.36</v>
      </c>
      <c r="E382" s="9" t="n">
        <f aca="false">(D382-D381)/D381</f>
        <v>0.137546468401487</v>
      </c>
      <c r="F382" s="0" t="n">
        <v>119.36</v>
      </c>
      <c r="G382" s="9" t="n">
        <f aca="false">(F382-F381)/F381</f>
        <v>-0.0015892931827687</v>
      </c>
      <c r="H382" s="0" t="n">
        <f aca="false">AVERAGE(F368:F381)</f>
        <v>112.928571428571</v>
      </c>
      <c r="I382" s="0" t="n">
        <f aca="false">AVERAGE(F375:F381)</f>
        <v>115.764285714286</v>
      </c>
      <c r="J382" s="0" t="n">
        <f aca="false">AVERAGE(F379:F381)</f>
        <v>117.976666666667</v>
      </c>
      <c r="K382" s="10" t="n">
        <v>85.66</v>
      </c>
      <c r="L382" s="9" t="n">
        <f aca="false">(K382-K381)/K381</f>
        <v>0.031923864594627</v>
      </c>
      <c r="M382" s="10" t="n">
        <v>83.88</v>
      </c>
      <c r="N382" s="9" t="n">
        <f aca="false">(M382-M381)/M381</f>
        <v>0.0408239235637175</v>
      </c>
      <c r="O382" s="0" t="n">
        <v>1.94</v>
      </c>
      <c r="P382" s="9" t="n">
        <f aca="false">(O382-O381)/O381</f>
        <v>-0.0202020202020202</v>
      </c>
      <c r="Q382" s="10" t="n">
        <v>0.63</v>
      </c>
      <c r="R382" s="9" t="n">
        <f aca="false">(Q382-Q381)/Q381</f>
        <v>-0.0869565217391305</v>
      </c>
      <c r="S382" s="10" t="n">
        <v>3.85</v>
      </c>
      <c r="T382" s="9" t="n">
        <f aca="false">(S382-S381)/S381</f>
        <v>-0.0228426395939086</v>
      </c>
      <c r="U382" s="13" t="n">
        <v>3.69</v>
      </c>
      <c r="V382" s="9" t="n">
        <f aca="false">(U382-U381)/U381</f>
        <v>-0.0212201591511937</v>
      </c>
      <c r="W382" s="0" t="n">
        <v>1.3492</v>
      </c>
      <c r="X382" s="23" t="n">
        <f aca="false">(W382-W381)/W381</f>
        <v>0.000519095291064088</v>
      </c>
      <c r="Y382" s="0" t="n">
        <v>1.438</v>
      </c>
      <c r="Z382" s="24" t="n">
        <f aca="false">(Y382-Y381)/Y381</f>
        <v>0.00236999860588307</v>
      </c>
    </row>
    <row r="383" customFormat="false" ht="13.8" hidden="false" customHeight="false" outlineLevel="0" collapsed="false">
      <c r="A383" s="8" t="n">
        <v>40287</v>
      </c>
      <c r="B383" s="0" t="n">
        <v>57.95</v>
      </c>
      <c r="C383" s="9" t="n">
        <f aca="false">(B383-B382)/B382</f>
        <v>0.0584474885844749</v>
      </c>
      <c r="D383" s="0" t="n">
        <v>16.62</v>
      </c>
      <c r="E383" s="9" t="n">
        <f aca="false">(D383-D382)/D382</f>
        <v>-0.0947712418300653</v>
      </c>
      <c r="F383" s="0" t="n">
        <v>121.81</v>
      </c>
      <c r="G383" s="9" t="n">
        <f aca="false">(F383-F382)/F382</f>
        <v>0.0205261394101877</v>
      </c>
      <c r="H383" s="0" t="n">
        <f aca="false">AVERAGE(F369:F382)</f>
        <v>113.270714285714</v>
      </c>
      <c r="I383" s="0" t="n">
        <f aca="false">AVERAGE(F376:F382)</f>
        <v>116.995714285714</v>
      </c>
      <c r="J383" s="0" t="n">
        <f aca="false">AVERAGE(F380:F382)</f>
        <v>118.903333333333</v>
      </c>
      <c r="K383" s="10" t="n">
        <v>84.34</v>
      </c>
      <c r="L383" s="9" t="n">
        <f aca="false">(K383-K382)/K382</f>
        <v>-0.015409759514359</v>
      </c>
      <c r="M383" s="10" t="n">
        <v>85.23</v>
      </c>
      <c r="N383" s="9" t="n">
        <f aca="false">(M383-M382)/M382</f>
        <v>0.0160944206008585</v>
      </c>
      <c r="O383" s="0" t="n">
        <v>1.95</v>
      </c>
      <c r="P383" s="9" t="n">
        <f aca="false">(O383-O382)/O382</f>
        <v>0.00515463917525785</v>
      </c>
      <c r="Q383" s="10" t="n">
        <v>0.61</v>
      </c>
      <c r="R383" s="9" t="n">
        <f aca="false">(Q383-Q382)/Q382</f>
        <v>-0.0317460317460318</v>
      </c>
      <c r="S383" s="10" t="n">
        <v>3.81</v>
      </c>
      <c r="T383" s="9" t="n">
        <f aca="false">(S383-S382)/S382</f>
        <v>-0.0103896103896104</v>
      </c>
      <c r="U383" s="13" t="n">
        <v>3.65</v>
      </c>
      <c r="V383" s="9" t="n">
        <f aca="false">(U383-U382)/U382</f>
        <v>-0.010840108401084</v>
      </c>
      <c r="W383" s="0" t="n">
        <v>1.3504</v>
      </c>
      <c r="X383" s="23" t="n">
        <f aca="false">(W383-W382)/W382</f>
        <v>0.000889415950192774</v>
      </c>
      <c r="Y383" s="0" t="n">
        <v>1.4325</v>
      </c>
      <c r="Z383" s="24" t="n">
        <f aca="false">(Y383-Y382)/Y382</f>
        <v>-0.00382475660639766</v>
      </c>
    </row>
    <row r="384" customFormat="false" ht="13.8" hidden="false" customHeight="false" outlineLevel="0" collapsed="false">
      <c r="A384" s="8" t="n">
        <v>40294</v>
      </c>
      <c r="B384" s="0" t="n">
        <v>55.72</v>
      </c>
      <c r="C384" s="9" t="n">
        <f aca="false">(B384-B383)/B383</f>
        <v>-0.038481449525453</v>
      </c>
      <c r="D384" s="0" t="n">
        <v>22.05</v>
      </c>
      <c r="E384" s="9" t="n">
        <f aca="false">(D384-D383)/D383</f>
        <v>0.326714801444043</v>
      </c>
      <c r="F384" s="0" t="n">
        <v>118.81</v>
      </c>
      <c r="G384" s="9" t="n">
        <f aca="false">(F384-F383)/F383</f>
        <v>-0.0246285198259585</v>
      </c>
      <c r="H384" s="0" t="n">
        <f aca="false">AVERAGE(F370:F383)</f>
        <v>113.854285714286</v>
      </c>
      <c r="I384" s="0" t="n">
        <f aca="false">AVERAGE(F377:F383)</f>
        <v>118.075714285714</v>
      </c>
      <c r="J384" s="0" t="n">
        <f aca="false">AVERAGE(F381:F383)</f>
        <v>120.24</v>
      </c>
      <c r="K384" s="10" t="n">
        <v>82.9</v>
      </c>
      <c r="L384" s="9" t="n">
        <f aca="false">(K384-K383)/K383</f>
        <v>-0.0170737491107422</v>
      </c>
      <c r="M384" s="10" t="n">
        <v>84.61</v>
      </c>
      <c r="N384" s="9" t="n">
        <f aca="false">(M384-M383)/M383</f>
        <v>-0.00727443388478241</v>
      </c>
      <c r="O384" s="0" t="n">
        <v>2.01</v>
      </c>
      <c r="P384" s="9" t="n">
        <f aca="false">(O384-O383)/O383</f>
        <v>0.0307692307692306</v>
      </c>
      <c r="Q384" s="10" t="n">
        <v>0.49</v>
      </c>
      <c r="R384" s="9" t="n">
        <f aca="false">(Q384-Q383)/Q383</f>
        <v>-0.19672131147541</v>
      </c>
      <c r="S384" s="10" t="n">
        <v>3.76</v>
      </c>
      <c r="T384" s="9" t="n">
        <f aca="false">(S384-S383)/S383</f>
        <v>-0.0131233595800526</v>
      </c>
      <c r="U384" s="13" t="n">
        <v>3.6</v>
      </c>
      <c r="V384" s="9" t="n">
        <f aca="false">(U384-U383)/U383</f>
        <v>-0.0136986301369864</v>
      </c>
      <c r="W384" s="0" t="n">
        <v>1.3371</v>
      </c>
      <c r="X384" s="23" t="n">
        <f aca="false">(W384-W383)/W383</f>
        <v>-0.00984893364928917</v>
      </c>
      <c r="Y384" s="0" t="n">
        <v>1.4352</v>
      </c>
      <c r="Z384" s="24" t="n">
        <f aca="false">(Y384-Y383)/Y383</f>
        <v>0.00188481675392665</v>
      </c>
    </row>
    <row r="385" customFormat="false" ht="13.8" hidden="false" customHeight="false" outlineLevel="0" collapsed="false">
      <c r="A385" s="8" t="n">
        <v>40301</v>
      </c>
      <c r="B385" s="0" t="n">
        <v>51.7</v>
      </c>
      <c r="C385" s="9" t="n">
        <f aca="false">(B385-B384)/B384</f>
        <v>-0.0721464465183058</v>
      </c>
      <c r="D385" s="0" t="n">
        <v>40.95</v>
      </c>
      <c r="E385" s="9" t="n">
        <f aca="false">(D385-D384)/D384</f>
        <v>0.857142857142857</v>
      </c>
      <c r="F385" s="0" t="n">
        <v>111.26</v>
      </c>
      <c r="G385" s="9" t="n">
        <f aca="false">(F385-F384)/F384</f>
        <v>-0.0635468394916253</v>
      </c>
      <c r="H385" s="0" t="n">
        <f aca="false">AVERAGE(F371:F384)</f>
        <v>114.54</v>
      </c>
      <c r="I385" s="0" t="n">
        <f aca="false">AVERAGE(F378:F384)</f>
        <v>118.554285714286</v>
      </c>
      <c r="J385" s="0" t="n">
        <f aca="false">AVERAGE(F382:F384)</f>
        <v>119.993333333333</v>
      </c>
      <c r="K385" s="10" t="n">
        <v>84.22</v>
      </c>
      <c r="L385" s="9" t="n">
        <f aca="false">(K385-K384)/K384</f>
        <v>0.0159227985524728</v>
      </c>
      <c r="M385" s="10" t="n">
        <v>85.98</v>
      </c>
      <c r="N385" s="9" t="n">
        <f aca="false">(M385-M384)/M384</f>
        <v>0.0161919394870583</v>
      </c>
      <c r="O385" s="0" t="n">
        <v>1.87</v>
      </c>
      <c r="P385" s="9" t="n">
        <f aca="false">(O385-O384)/O384</f>
        <v>-0.0696517412935322</v>
      </c>
      <c r="Q385" s="10" t="n">
        <v>0.42</v>
      </c>
      <c r="R385" s="9" t="n">
        <f aca="false">(Q385-Q384)/Q384</f>
        <v>-0.142857142857143</v>
      </c>
      <c r="S385" s="10" t="n">
        <v>3.56</v>
      </c>
      <c r="T385" s="9" t="n">
        <f aca="false">(S385-S384)/S384</f>
        <v>-0.0531914893617021</v>
      </c>
      <c r="U385" s="13" t="n">
        <v>3.42</v>
      </c>
      <c r="V385" s="9" t="n">
        <f aca="false">(U385-U384)/U384</f>
        <v>-0.0499999999999999</v>
      </c>
      <c r="W385" s="0" t="n">
        <v>1.3314</v>
      </c>
      <c r="X385" s="23" t="n">
        <f aca="false">(W385-W384)/W384</f>
        <v>-0.0042629571460624</v>
      </c>
      <c r="Y385" s="0" t="n">
        <v>1.4327</v>
      </c>
      <c r="Z385" s="24" t="n">
        <f aca="false">(Y385-Y384)/Y384</f>
        <v>-0.00174191750278703</v>
      </c>
    </row>
    <row r="386" customFormat="false" ht="13.8" hidden="false" customHeight="false" outlineLevel="0" collapsed="false">
      <c r="A386" s="8" t="n">
        <v>40308</v>
      </c>
      <c r="B386" s="0" t="n">
        <v>53.28</v>
      </c>
      <c r="C386" s="9" t="n">
        <f aca="false">(B386-B385)/B385</f>
        <v>0.0305609284332688</v>
      </c>
      <c r="D386" s="0" t="n">
        <v>31.24</v>
      </c>
      <c r="E386" s="9" t="n">
        <f aca="false">(D386-D385)/D385</f>
        <v>-0.237118437118437</v>
      </c>
      <c r="F386" s="0" t="n">
        <v>113.89</v>
      </c>
      <c r="G386" s="9" t="n">
        <f aca="false">(F386-F385)/F385</f>
        <v>0.0236383246449757</v>
      </c>
      <c r="H386" s="0" t="n">
        <f aca="false">AVERAGE(F372:F385)</f>
        <v>114.816428571429</v>
      </c>
      <c r="I386" s="0" t="n">
        <f aca="false">AVERAGE(F379:F385)</f>
        <v>117.881428571429</v>
      </c>
      <c r="J386" s="0" t="n">
        <f aca="false">AVERAGE(F383:F385)</f>
        <v>117.293333333333</v>
      </c>
      <c r="K386" s="10" t="n">
        <v>80.24</v>
      </c>
      <c r="L386" s="9" t="n">
        <f aca="false">(K386-K385)/K385</f>
        <v>-0.0472571835668488</v>
      </c>
      <c r="M386" s="10" t="n">
        <v>82.5</v>
      </c>
      <c r="N386" s="9" t="n">
        <f aca="false">(M386-M385)/M385</f>
        <v>-0.0404745289602234</v>
      </c>
      <c r="O386" s="0" t="n">
        <v>1.87</v>
      </c>
      <c r="P386" s="9" t="n">
        <f aca="false">(O386-O385)/O385</f>
        <v>0</v>
      </c>
      <c r="Q386" s="10" t="n">
        <v>0.38</v>
      </c>
      <c r="R386" s="9" t="n">
        <f aca="false">(Q386-Q385)/Q385</f>
        <v>-0.0952380952380952</v>
      </c>
      <c r="S386" s="10" t="n">
        <v>3.54</v>
      </c>
      <c r="T386" s="9" t="n">
        <f aca="false">(S386-S385)/S385</f>
        <v>-0.00561797752808989</v>
      </c>
      <c r="U386" s="13" t="n">
        <v>3.38</v>
      </c>
      <c r="V386" s="9" t="n">
        <f aca="false">(U386-U385)/U385</f>
        <v>-0.0116959064327485</v>
      </c>
      <c r="W386" s="0" t="n">
        <v>1.2732</v>
      </c>
      <c r="X386" s="23" t="n">
        <f aca="false">(W386-W385)/W385</f>
        <v>-0.0437133844073906</v>
      </c>
      <c r="Y386" s="0" t="n">
        <v>1.4106</v>
      </c>
      <c r="Z386" s="24" t="n">
        <f aca="false">(Y386-Y385)/Y385</f>
        <v>-0.0154254205346549</v>
      </c>
    </row>
    <row r="387" customFormat="false" ht="13.8" hidden="false" customHeight="false" outlineLevel="0" collapsed="false">
      <c r="A387" s="8" t="n">
        <v>40315</v>
      </c>
      <c r="B387" s="0" t="n">
        <v>50.39</v>
      </c>
      <c r="C387" s="9" t="n">
        <f aca="false">(B387-B386)/B386</f>
        <v>-0.0542417417417418</v>
      </c>
      <c r="D387" s="0" t="n">
        <v>40.1</v>
      </c>
      <c r="E387" s="9" t="n">
        <f aca="false">(D387-D386)/D386</f>
        <v>0.283610755441741</v>
      </c>
      <c r="F387" s="0" t="n">
        <v>109.11</v>
      </c>
      <c r="G387" s="9" t="n">
        <f aca="false">(F387-F386)/F386</f>
        <v>-0.0419703222407586</v>
      </c>
      <c r="H387" s="0" t="n">
        <f aca="false">AVERAGE(F373:F386)</f>
        <v>115.332857142857</v>
      </c>
      <c r="I387" s="0" t="n">
        <f aca="false">AVERAGE(F380:F386)</f>
        <v>117.497142857143</v>
      </c>
      <c r="J387" s="0" t="n">
        <f aca="false">AVERAGE(F384:F386)</f>
        <v>114.653333333333</v>
      </c>
      <c r="K387" s="10" t="n">
        <v>74.98</v>
      </c>
      <c r="L387" s="9" t="n">
        <f aca="false">(K387-K386)/K386</f>
        <v>-0.0655533399800597</v>
      </c>
      <c r="M387" s="10" t="n">
        <v>78.32</v>
      </c>
      <c r="N387" s="9" t="n">
        <f aca="false">(M387-M386)/M386</f>
        <v>-0.0506666666666667</v>
      </c>
      <c r="O387" s="0" t="n">
        <v>1.69</v>
      </c>
      <c r="P387" s="9" t="n">
        <f aca="false">(O387-O386)/O386</f>
        <v>-0.0962566844919786</v>
      </c>
      <c r="Q387" s="10" t="n">
        <v>0.41</v>
      </c>
      <c r="R387" s="9" t="n">
        <f aca="false">(Q387-Q386)/Q386</f>
        <v>0.0789473684210527</v>
      </c>
      <c r="S387" s="10" t="n">
        <v>3.33</v>
      </c>
      <c r="T387" s="9" t="n">
        <f aca="false">(S387-S386)/S386</f>
        <v>-0.0593220338983051</v>
      </c>
      <c r="U387" s="13" t="n">
        <v>3.16</v>
      </c>
      <c r="V387" s="9" t="n">
        <f aca="false">(U387-U386)/U386</f>
        <v>-0.0650887573964496</v>
      </c>
      <c r="W387" s="0" t="n">
        <v>1.238</v>
      </c>
      <c r="X387" s="23" t="n">
        <f aca="false">(W387-W386)/W386</f>
        <v>-0.0276468740182219</v>
      </c>
      <c r="Y387" s="0" t="n">
        <v>1.4007</v>
      </c>
      <c r="Z387" s="24" t="n">
        <f aca="false">(Y387-Y386)/Y386</f>
        <v>-0.00701829008932371</v>
      </c>
    </row>
    <row r="388" customFormat="false" ht="13.8" hidden="false" customHeight="false" outlineLevel="0" collapsed="false">
      <c r="A388" s="8" t="n">
        <v>40322</v>
      </c>
      <c r="B388" s="0" t="n">
        <v>49.94</v>
      </c>
      <c r="C388" s="9" t="n">
        <f aca="false">(B388-B387)/B387</f>
        <v>-0.00893034332208777</v>
      </c>
      <c r="D388" s="0" t="n">
        <v>32.07</v>
      </c>
      <c r="E388" s="9" t="n">
        <f aca="false">(D388-D387)/D387</f>
        <v>-0.200249376558603</v>
      </c>
      <c r="F388" s="0" t="n">
        <v>109.37</v>
      </c>
      <c r="G388" s="9" t="n">
        <f aca="false">(F388-F387)/F387</f>
        <v>0.00238291632297686</v>
      </c>
      <c r="H388" s="0" t="n">
        <f aca="false">AVERAGE(F374:F387)</f>
        <v>115.409285714286</v>
      </c>
      <c r="I388" s="0" t="n">
        <f aca="false">AVERAGE(F381:F387)</f>
        <v>116.255714285714</v>
      </c>
      <c r="J388" s="0" t="n">
        <f aca="false">AVERAGE(F385:F387)</f>
        <v>111.42</v>
      </c>
      <c r="K388" s="10" t="n">
        <v>69.14</v>
      </c>
      <c r="L388" s="9" t="n">
        <f aca="false">(K388-K387)/K387</f>
        <v>-0.0778874366497733</v>
      </c>
      <c r="M388" s="10" t="n">
        <v>72.17</v>
      </c>
      <c r="N388" s="9" t="n">
        <f aca="false">(M388-M387)/M387</f>
        <v>-0.0785240040858017</v>
      </c>
      <c r="O388" s="0" t="n">
        <v>1.65</v>
      </c>
      <c r="P388" s="9" t="n">
        <f aca="false">(O388-O387)/O387</f>
        <v>-0.0236686390532545</v>
      </c>
      <c r="Q388" s="10" t="n">
        <v>0.43</v>
      </c>
      <c r="R388" s="9" t="n">
        <f aca="false">(Q388-Q387)/Q387</f>
        <v>0.048780487804878</v>
      </c>
      <c r="S388" s="10" t="n">
        <v>3.25</v>
      </c>
      <c r="T388" s="9" t="n">
        <f aca="false">(S388-S387)/S387</f>
        <v>-0.024024024024024</v>
      </c>
      <c r="U388" s="13" t="n">
        <v>3.08</v>
      </c>
      <c r="V388" s="9" t="n">
        <f aca="false">(U388-U387)/U387</f>
        <v>-0.0253164556962025</v>
      </c>
      <c r="W388" s="0" t="n">
        <v>1.2575</v>
      </c>
      <c r="X388" s="23" t="n">
        <f aca="false">(W388-W387)/W387</f>
        <v>0.015751211631664</v>
      </c>
      <c r="Y388" s="0" t="n">
        <v>1.4445</v>
      </c>
      <c r="Z388" s="24" t="n">
        <f aca="false">(Y388-Y387)/Y387</f>
        <v>0.0312700792460911</v>
      </c>
    </row>
    <row r="389" customFormat="false" ht="13.8" hidden="false" customHeight="false" outlineLevel="0" collapsed="false">
      <c r="A389" s="8" t="n">
        <v>40330</v>
      </c>
      <c r="B389" s="0" t="n">
        <v>47.63</v>
      </c>
      <c r="C389" s="9" t="n">
        <f aca="false">(B389-B388)/B388</f>
        <v>-0.0462555066079294</v>
      </c>
      <c r="D389" s="0" t="n">
        <v>35.48</v>
      </c>
      <c r="E389" s="9" t="n">
        <f aca="false">(D389-D388)/D388</f>
        <v>0.106329903336451</v>
      </c>
      <c r="F389" s="0" t="n">
        <v>106.82</v>
      </c>
      <c r="G389" s="9" t="n">
        <f aca="false">(F389-F388)/F388</f>
        <v>-0.0233153515589285</v>
      </c>
      <c r="H389" s="0" t="n">
        <f aca="false">AVERAGE(F375:F388)</f>
        <v>115.282857142857</v>
      </c>
      <c r="I389" s="0" t="n">
        <f aca="false">AVERAGE(F382:F388)</f>
        <v>114.801428571429</v>
      </c>
      <c r="J389" s="0" t="n">
        <f aca="false">AVERAGE(F386:F388)</f>
        <v>110.79</v>
      </c>
      <c r="K389" s="10" t="n">
        <v>70.62</v>
      </c>
      <c r="L389" s="9" t="n">
        <f aca="false">(K389-K388)/K388</f>
        <v>0.0214058432166619</v>
      </c>
      <c r="M389" s="10" t="n">
        <v>70.79</v>
      </c>
      <c r="N389" s="9" t="n">
        <f aca="false">(M389-M388)/M388</f>
        <v>-0.0191215186365525</v>
      </c>
      <c r="O389" s="0" t="n">
        <v>1.71</v>
      </c>
      <c r="P389" s="9" t="n">
        <f aca="false">(O389-O388)/O388</f>
        <v>0.0363636363636363</v>
      </c>
      <c r="Q389" s="10" t="n">
        <v>0.39</v>
      </c>
      <c r="R389" s="9" t="n">
        <f aca="false">(Q389-Q388)/Q388</f>
        <v>-0.0930232558139534</v>
      </c>
      <c r="S389" s="10" t="n">
        <v>3.31</v>
      </c>
      <c r="T389" s="9" t="n">
        <f aca="false">(S389-S388)/S388</f>
        <v>0.0184615384615385</v>
      </c>
      <c r="U389" s="13" t="n">
        <v>3.16</v>
      </c>
      <c r="V389" s="9" t="n">
        <f aca="false">(U389-U388)/U388</f>
        <v>0.025974025974026</v>
      </c>
      <c r="W389" s="0" t="n">
        <v>1.2276</v>
      </c>
      <c r="X389" s="23" t="n">
        <f aca="false">(W389-W388)/W388</f>
        <v>-0.0237773359840955</v>
      </c>
      <c r="Y389" s="0" t="n">
        <v>1.4223</v>
      </c>
      <c r="Z389" s="24" t="n">
        <f aca="false">(Y389-Y388)/Y388</f>
        <v>-0.0153686396677051</v>
      </c>
    </row>
    <row r="390" customFormat="false" ht="13.8" hidden="false" customHeight="false" outlineLevel="0" collapsed="false">
      <c r="A390" s="8" t="n">
        <v>40336</v>
      </c>
      <c r="B390" s="0" t="n">
        <v>48.93</v>
      </c>
      <c r="C390" s="9" t="n">
        <f aca="false">(B390-B389)/B389</f>
        <v>0.0272937224438379</v>
      </c>
      <c r="D390" s="0" t="n">
        <v>28.79</v>
      </c>
      <c r="E390" s="9" t="n">
        <f aca="false">(D390-D389)/D389</f>
        <v>-0.188556933483653</v>
      </c>
      <c r="F390" s="0" t="n">
        <v>109.68</v>
      </c>
      <c r="G390" s="9" t="n">
        <f aca="false">(F390-F389)/F389</f>
        <v>0.0267740123572366</v>
      </c>
      <c r="H390" s="0" t="n">
        <f aca="false">AVERAGE(F376:F389)</f>
        <v>115.002857142857</v>
      </c>
      <c r="I390" s="0" t="n">
        <f aca="false">AVERAGE(F383:F389)</f>
        <v>113.01</v>
      </c>
      <c r="J390" s="0" t="n">
        <f aca="false">AVERAGE(F387:F389)</f>
        <v>108.433333333333</v>
      </c>
      <c r="K390" s="10" t="n">
        <v>72.91</v>
      </c>
      <c r="L390" s="9" t="n">
        <f aca="false">(K390-K389)/K389</f>
        <v>0.0324270744831491</v>
      </c>
      <c r="M390" s="10" t="n">
        <v>72.71</v>
      </c>
      <c r="N390" s="9" t="n">
        <f aca="false">(M390-M389)/M389</f>
        <v>0.0271224749258368</v>
      </c>
      <c r="O390" s="0" t="n">
        <v>1.64</v>
      </c>
      <c r="P390" s="9" t="n">
        <f aca="false">(O390-O389)/O389</f>
        <v>-0.04093567251462</v>
      </c>
      <c r="Q390" s="10" t="n">
        <v>0.37</v>
      </c>
      <c r="R390" s="9" t="n">
        <f aca="false">(Q390-Q389)/Q389</f>
        <v>-0.0512820512820513</v>
      </c>
      <c r="S390" s="10" t="n">
        <v>3.22</v>
      </c>
      <c r="T390" s="9" t="n">
        <f aca="false">(S390-S389)/S389</f>
        <v>-0.0271903323262839</v>
      </c>
      <c r="U390" s="13" t="n">
        <v>3.12</v>
      </c>
      <c r="V390" s="9" t="n">
        <f aca="false">(U390-U389)/U389</f>
        <v>-0.0126582278481013</v>
      </c>
      <c r="W390" s="0" t="n">
        <v>1.1963</v>
      </c>
      <c r="X390" s="23" t="n">
        <f aca="false">(W390-W389)/W389</f>
        <v>-0.0254969045291627</v>
      </c>
      <c r="Y390" s="0" t="n">
        <v>1.3904</v>
      </c>
      <c r="Z390" s="24" t="n">
        <f aca="false">(Y390-Y389)/Y389</f>
        <v>-0.022428460943542</v>
      </c>
    </row>
    <row r="391" customFormat="false" ht="13.8" hidden="false" customHeight="false" outlineLevel="0" collapsed="false">
      <c r="A391" s="8" t="n">
        <v>40343</v>
      </c>
      <c r="B391" s="0" t="n">
        <v>50.05</v>
      </c>
      <c r="C391" s="9" t="n">
        <f aca="false">(B391-B390)/B390</f>
        <v>0.0228898426323319</v>
      </c>
      <c r="D391" s="0" t="n">
        <v>23.95</v>
      </c>
      <c r="E391" s="9" t="n">
        <f aca="false">(D391-D390)/D390</f>
        <v>-0.168113928447378</v>
      </c>
      <c r="F391" s="0" t="n">
        <v>111.73</v>
      </c>
      <c r="G391" s="9" t="n">
        <f aca="false">(F391-F390)/F390</f>
        <v>0.0186907366885485</v>
      </c>
      <c r="H391" s="0" t="n">
        <f aca="false">AVERAGE(F377:F390)</f>
        <v>114.676428571429</v>
      </c>
      <c r="I391" s="0" t="n">
        <f aca="false">AVERAGE(F384:F390)</f>
        <v>111.277142857143</v>
      </c>
      <c r="J391" s="0" t="n">
        <f aca="false">AVERAGE(F388:F390)</f>
        <v>108.623333333333</v>
      </c>
      <c r="K391" s="10" t="n">
        <v>73.44</v>
      </c>
      <c r="L391" s="9" t="n">
        <f aca="false">(K391-K390)/K390</f>
        <v>0.00726923604443836</v>
      </c>
      <c r="M391" s="10" t="n">
        <v>72.76</v>
      </c>
      <c r="N391" s="9" t="n">
        <f aca="false">(M391-M390)/M390</f>
        <v>0.000687663320038666</v>
      </c>
      <c r="O391" s="0" t="n">
        <v>1.69</v>
      </c>
      <c r="P391" s="9" t="n">
        <f aca="false">(O391-O390)/O390</f>
        <v>0.0304878048780489</v>
      </c>
      <c r="Q391" s="10" t="n">
        <v>0.37</v>
      </c>
      <c r="R391" s="9" t="n">
        <f aca="false">(Q391-Q390)/Q390</f>
        <v>0</v>
      </c>
      <c r="S391" s="10" t="n">
        <v>3.26</v>
      </c>
      <c r="T391" s="9" t="n">
        <f aca="false">(S391-S390)/S390</f>
        <v>0.0124223602484471</v>
      </c>
      <c r="U391" s="13" t="n">
        <v>3.17</v>
      </c>
      <c r="V391" s="9" t="n">
        <f aca="false">(U391-U390)/U390</f>
        <v>0.016025641025641</v>
      </c>
      <c r="W391" s="0" t="n">
        <v>1.2091</v>
      </c>
      <c r="X391" s="23" t="n">
        <f aca="false">(W391-W390)/W390</f>
        <v>0.010699657276603</v>
      </c>
      <c r="Y391" s="0" t="n">
        <v>1.3912</v>
      </c>
      <c r="Z391" s="24" t="n">
        <f aca="false">(Y391-Y390)/Y390</f>
        <v>0.000575373993095449</v>
      </c>
    </row>
    <row r="392" customFormat="false" ht="13.8" hidden="false" customHeight="false" outlineLevel="0" collapsed="false">
      <c r="A392" s="8" t="n">
        <v>40350</v>
      </c>
      <c r="B392" s="0" t="n">
        <v>49.19</v>
      </c>
      <c r="C392" s="9" t="n">
        <f aca="false">(B392-B391)/B391</f>
        <v>-0.0171828171828172</v>
      </c>
      <c r="D392" s="0" t="n">
        <v>28.53</v>
      </c>
      <c r="E392" s="9" t="n">
        <f aca="false">(D392-D391)/D391</f>
        <v>0.191231732776618</v>
      </c>
      <c r="F392" s="0" t="n">
        <v>107.87</v>
      </c>
      <c r="G392" s="9" t="n">
        <f aca="false">(F392-F391)/F391</f>
        <v>-0.0345475700349056</v>
      </c>
      <c r="H392" s="0" t="n">
        <f aca="false">AVERAGE(F378:F391)</f>
        <v>114.41</v>
      </c>
      <c r="I392" s="0" t="n">
        <f aca="false">AVERAGE(F385:F391)</f>
        <v>110.265714285714</v>
      </c>
      <c r="J392" s="0" t="n">
        <f aca="false">AVERAGE(F389:F391)</f>
        <v>109.41</v>
      </c>
      <c r="K392" s="10" t="n">
        <v>76.7</v>
      </c>
      <c r="L392" s="9" t="n">
        <f aca="false">(K392-K391)/K391</f>
        <v>0.0443899782135077</v>
      </c>
      <c r="M392" s="10" t="n">
        <v>76.22</v>
      </c>
      <c r="N392" s="9" t="n">
        <f aca="false">(M392-M391)/M391</f>
        <v>0.0475536008796041</v>
      </c>
      <c r="O392" s="0" t="n">
        <v>1.65</v>
      </c>
      <c r="P392" s="9" t="n">
        <f aca="false">(O392-O391)/O391</f>
        <v>-0.0236686390532545</v>
      </c>
      <c r="Q392" s="10" t="n">
        <v>0.31</v>
      </c>
      <c r="R392" s="9" t="n">
        <f aca="false">(Q392-Q391)/Q391</f>
        <v>-0.162162162162162</v>
      </c>
      <c r="S392" s="10" t="n">
        <v>3.17</v>
      </c>
      <c r="T392" s="9" t="n">
        <f aca="false">(S392-S391)/S391</f>
        <v>-0.0276073619631901</v>
      </c>
      <c r="U392" s="13" t="n">
        <v>3.04</v>
      </c>
      <c r="V392" s="9" t="n">
        <f aca="false">(U392-U391)/U391</f>
        <v>-0.0410094637223974</v>
      </c>
      <c r="W392" s="0" t="n">
        <v>1.2384</v>
      </c>
      <c r="X392" s="23" t="n">
        <f aca="false">(W392-W391)/W391</f>
        <v>0.0242329005045074</v>
      </c>
      <c r="Y392" s="0" t="n">
        <v>1.3729</v>
      </c>
      <c r="Z392" s="24" t="n">
        <f aca="false">(Y392-Y391)/Y391</f>
        <v>-0.0131541115583669</v>
      </c>
    </row>
    <row r="393" customFormat="false" ht="13.8" hidden="false" customHeight="false" outlineLevel="0" collapsed="false">
      <c r="A393" s="8" t="n">
        <v>40357</v>
      </c>
      <c r="B393" s="0" t="n">
        <v>44.97</v>
      </c>
      <c r="C393" s="9" t="n">
        <f aca="false">(B393-B392)/B392</f>
        <v>-0.0857897946737142</v>
      </c>
      <c r="D393" s="0" t="n">
        <v>30.12</v>
      </c>
      <c r="E393" s="9" t="n">
        <f aca="false">(D393-D392)/D392</f>
        <v>0.0557308096740273</v>
      </c>
      <c r="F393" s="0" t="n">
        <v>102.2</v>
      </c>
      <c r="G393" s="9" t="n">
        <f aca="false">(F393-F392)/F392</f>
        <v>-0.0525632706035042</v>
      </c>
      <c r="H393" s="0" t="n">
        <f aca="false">AVERAGE(F379:F392)</f>
        <v>113.831428571429</v>
      </c>
      <c r="I393" s="0" t="n">
        <f aca="false">AVERAGE(F386:F392)</f>
        <v>109.781428571429</v>
      </c>
      <c r="J393" s="0" t="n">
        <f aca="false">AVERAGE(F390:F392)</f>
        <v>109.76</v>
      </c>
      <c r="K393" s="10" t="n">
        <v>77.06</v>
      </c>
      <c r="L393" s="9" t="n">
        <f aca="false">(K393-K392)/K392</f>
        <v>0.00469361147327248</v>
      </c>
      <c r="M393" s="10" t="n">
        <v>76.64</v>
      </c>
      <c r="N393" s="9" t="n">
        <f aca="false">(M393-M392)/M392</f>
        <v>0.00551036473366573</v>
      </c>
      <c r="O393" s="0" t="n">
        <v>1.52</v>
      </c>
      <c r="P393" s="9" t="n">
        <f aca="false">(O393-O392)/O392</f>
        <v>-0.0787878787878787</v>
      </c>
      <c r="Q393" s="10" t="n">
        <v>0.28</v>
      </c>
      <c r="R393" s="9" t="n">
        <f aca="false">(Q393-Q392)/Q392</f>
        <v>-0.0967741935483868</v>
      </c>
      <c r="S393" s="10" t="n">
        <v>2.99</v>
      </c>
      <c r="T393" s="9" t="n">
        <f aca="false">(S393-S392)/S392</f>
        <v>-0.056782334384858</v>
      </c>
      <c r="U393" s="13" t="n">
        <v>2.82</v>
      </c>
      <c r="V393" s="9" t="n">
        <f aca="false">(U393-U392)/U392</f>
        <v>-0.0723684210526315</v>
      </c>
      <c r="W393" s="0" t="n">
        <v>1.2378</v>
      </c>
      <c r="X393" s="23" t="n">
        <f aca="false">(W393-W392)/W392</f>
        <v>-0.000484496124030954</v>
      </c>
      <c r="Y393" s="0" t="n">
        <v>1.3523</v>
      </c>
      <c r="Z393" s="24" t="n">
        <f aca="false">(Y393-Y392)/Y392</f>
        <v>-0.0150047345036055</v>
      </c>
    </row>
    <row r="394" customFormat="false" ht="13.8" hidden="false" customHeight="false" outlineLevel="0" collapsed="false">
      <c r="A394" s="8" t="n">
        <v>40365</v>
      </c>
      <c r="B394" s="0" t="n">
        <v>49.39</v>
      </c>
      <c r="C394" s="9" t="n">
        <f aca="false">(B394-B393)/B393</f>
        <v>0.098287747387147</v>
      </c>
      <c r="D394" s="0" t="n">
        <v>24.98</v>
      </c>
      <c r="E394" s="9" t="n">
        <f aca="false">(D394-D393)/D393</f>
        <v>-0.170650730411687</v>
      </c>
      <c r="F394" s="0" t="n">
        <v>107.96</v>
      </c>
      <c r="G394" s="9" t="n">
        <f aca="false">(F394-F393)/F393</f>
        <v>0.0563600782778864</v>
      </c>
      <c r="H394" s="0" t="n">
        <f aca="false">AVERAGE(F380:F393)</f>
        <v>112.804285714286</v>
      </c>
      <c r="I394" s="0" t="n">
        <f aca="false">AVERAGE(F387:F393)</f>
        <v>108.111428571429</v>
      </c>
      <c r="J394" s="0" t="n">
        <f aca="false">AVERAGE(F391:F393)</f>
        <v>107.266666666667</v>
      </c>
      <c r="K394" s="10" t="n">
        <v>74.96</v>
      </c>
      <c r="L394" s="9" t="n">
        <f aca="false">(K394-K393)/K393</f>
        <v>-0.0272514923436285</v>
      </c>
      <c r="M394" s="10" t="n">
        <v>73.86</v>
      </c>
      <c r="N394" s="9" t="n">
        <f aca="false">(M394-M393)/M393</f>
        <v>-0.0362734864300626</v>
      </c>
      <c r="O394" s="0" t="n">
        <v>1.43</v>
      </c>
      <c r="P394" s="9" t="n">
        <f aca="false">(O394-O393)/O393</f>
        <v>-0.0592105263157894</v>
      </c>
      <c r="Q394" s="10" t="n">
        <v>0.37</v>
      </c>
      <c r="R394" s="9" t="n">
        <f aca="false">(Q394-Q393)/Q393</f>
        <v>0.321428571428571</v>
      </c>
      <c r="S394" s="10" t="n">
        <v>3.02</v>
      </c>
      <c r="T394" s="9" t="n">
        <f aca="false">(S394-S393)/S393</f>
        <v>0.0100334448160534</v>
      </c>
      <c r="U394" s="13" t="n">
        <v>2.86</v>
      </c>
      <c r="V394" s="9" t="n">
        <f aca="false">(U394-U393)/U393</f>
        <v>0.0141843971631204</v>
      </c>
      <c r="W394" s="0" t="n">
        <v>1.2547</v>
      </c>
      <c r="X394" s="23" t="n">
        <f aca="false">(W394-W393)/W393</f>
        <v>0.0136532557763774</v>
      </c>
      <c r="Y394" s="0" t="n">
        <v>1.3362</v>
      </c>
      <c r="Z394" s="24" t="n">
        <f aca="false">(Y394-Y393)/Y393</f>
        <v>-0.0119056422391481</v>
      </c>
    </row>
    <row r="395" customFormat="false" ht="13.8" hidden="false" customHeight="false" outlineLevel="0" collapsed="false">
      <c r="A395" s="8" t="n">
        <v>40371</v>
      </c>
      <c r="B395" s="0" t="n">
        <v>47.06</v>
      </c>
      <c r="C395" s="9" t="n">
        <f aca="false">(B395-B394)/B394</f>
        <v>-0.0471755416076128</v>
      </c>
      <c r="D395" s="0" t="n">
        <v>26.25</v>
      </c>
      <c r="E395" s="9" t="n">
        <f aca="false">(D395-D394)/D394</f>
        <v>0.0508406725380304</v>
      </c>
      <c r="F395" s="0" t="n">
        <v>106.66</v>
      </c>
      <c r="G395" s="9" t="n">
        <f aca="false">(F395-F394)/F394</f>
        <v>-0.0120414968506854</v>
      </c>
      <c r="H395" s="0" t="n">
        <f aca="false">AVERAGE(F381:F394)</f>
        <v>112.101428571429</v>
      </c>
      <c r="I395" s="0" t="n">
        <f aca="false">AVERAGE(F388:F394)</f>
        <v>107.947142857143</v>
      </c>
      <c r="J395" s="0" t="n">
        <f aca="false">AVERAGE(F392:F394)</f>
        <v>106.01</v>
      </c>
      <c r="K395" s="10" t="n">
        <v>74.39</v>
      </c>
      <c r="L395" s="9" t="n">
        <f aca="false">(K395-K394)/K394</f>
        <v>-0.00760405549626458</v>
      </c>
      <c r="M395" s="10" t="n">
        <v>73.95</v>
      </c>
      <c r="N395" s="9" t="n">
        <f aca="false">(M395-M394)/M394</f>
        <v>0.00121852152721369</v>
      </c>
      <c r="O395" s="0" t="n">
        <v>1.46</v>
      </c>
      <c r="P395" s="9" t="n">
        <f aca="false">(O395-O394)/O394</f>
        <v>0.0209790209790208</v>
      </c>
      <c r="Q395" s="10" t="n">
        <v>0.35</v>
      </c>
      <c r="R395" s="9" t="n">
        <f aca="false">(Q395-Q394)/Q394</f>
        <v>-0.054054054054054</v>
      </c>
      <c r="S395" s="10" t="n">
        <v>3.05</v>
      </c>
      <c r="T395" s="9" t="n">
        <f aca="false">(S395-S394)/S394</f>
        <v>0.00993377483443702</v>
      </c>
      <c r="U395" s="13" t="n">
        <v>2.9</v>
      </c>
      <c r="V395" s="9" t="n">
        <f aca="false">(U395-U394)/U394</f>
        <v>0.013986013986014</v>
      </c>
      <c r="W395" s="0" t="n">
        <v>1.2639</v>
      </c>
      <c r="X395" s="23" t="n">
        <f aca="false">(W395-W394)/W394</f>
        <v>0.00733243006296334</v>
      </c>
      <c r="Y395" s="0" t="n">
        <v>1.3342</v>
      </c>
      <c r="Z395" s="24" t="n">
        <f aca="false">(Y395-Y394)/Y394</f>
        <v>-0.00149678191887442</v>
      </c>
    </row>
    <row r="396" customFormat="false" ht="13.8" hidden="false" customHeight="false" outlineLevel="0" collapsed="false">
      <c r="A396" s="8" t="n">
        <v>40378</v>
      </c>
      <c r="B396" s="0" t="n">
        <v>47.93</v>
      </c>
      <c r="C396" s="9" t="n">
        <f aca="false">(B396-B395)/B395</f>
        <v>0.0184870378240543</v>
      </c>
      <c r="D396" s="0" t="n">
        <v>23.47</v>
      </c>
      <c r="E396" s="9" t="n">
        <f aca="false">(D396-D395)/D395</f>
        <v>-0.105904761904762</v>
      </c>
      <c r="F396" s="0" t="n">
        <v>110.41</v>
      </c>
      <c r="G396" s="9" t="n">
        <f aca="false">(F396-F395)/F395</f>
        <v>0.0351584474029627</v>
      </c>
      <c r="H396" s="0" t="n">
        <f aca="false">AVERAGE(F382:F395)</f>
        <v>111.180714285714</v>
      </c>
      <c r="I396" s="0" t="n">
        <f aca="false">AVERAGE(F389:F395)</f>
        <v>107.56</v>
      </c>
      <c r="J396" s="0" t="n">
        <f aca="false">AVERAGE(F393:F395)</f>
        <v>105.606666666667</v>
      </c>
      <c r="K396" s="10" t="n">
        <v>76.35</v>
      </c>
      <c r="L396" s="9" t="n">
        <f aca="false">(K396-K395)/K395</f>
        <v>0.02634762736927</v>
      </c>
      <c r="M396" s="10" t="n">
        <v>75.7</v>
      </c>
      <c r="N396" s="9" t="n">
        <f aca="false">(M396-M395)/M395</f>
        <v>0.0236646382691007</v>
      </c>
      <c r="O396" s="0" t="n">
        <v>1.35</v>
      </c>
      <c r="P396" s="9" t="n">
        <f aca="false">(O396-O395)/O395</f>
        <v>-0.0753424657534246</v>
      </c>
      <c r="Q396" s="10" t="n">
        <v>0.36</v>
      </c>
      <c r="R396" s="9" t="n">
        <f aca="false">(Q396-Q395)/Q395</f>
        <v>0.0285714285714284</v>
      </c>
      <c r="S396" s="10" t="n">
        <v>2.97</v>
      </c>
      <c r="T396" s="9" t="n">
        <f aca="false">(S396-S395)/S395</f>
        <v>-0.0262295081967213</v>
      </c>
      <c r="U396" s="13" t="n">
        <v>2.81</v>
      </c>
      <c r="V396" s="9" t="n">
        <f aca="false">(U396-U395)/U395</f>
        <v>-0.0310344827586206</v>
      </c>
      <c r="W396" s="0" t="n">
        <v>1.2925</v>
      </c>
      <c r="X396" s="23" t="n">
        <f aca="false">(W396-W395)/W395</f>
        <v>0.0226283724978242</v>
      </c>
      <c r="Y396" s="0" t="n">
        <v>1.3598</v>
      </c>
      <c r="Z396" s="24" t="n">
        <f aca="false">(Y396-Y395)/Y395</f>
        <v>0.0191875281067305</v>
      </c>
    </row>
    <row r="397" customFormat="false" ht="13.8" hidden="false" customHeight="false" outlineLevel="0" collapsed="false">
      <c r="A397" s="8" t="n">
        <v>40385</v>
      </c>
      <c r="B397" s="0" t="n">
        <v>48.64</v>
      </c>
      <c r="C397" s="9" t="n">
        <f aca="false">(B397-B396)/B396</f>
        <v>0.0148132693511371</v>
      </c>
      <c r="D397" s="0" t="n">
        <v>23.5</v>
      </c>
      <c r="E397" s="9" t="n">
        <f aca="false">(D397-D396)/D396</f>
        <v>0.00127822752449941</v>
      </c>
      <c r="F397" s="0" t="n">
        <v>110.27</v>
      </c>
      <c r="G397" s="9" t="n">
        <f aca="false">(F397-F396)/F396</f>
        <v>-0.00126800108685808</v>
      </c>
      <c r="H397" s="0" t="n">
        <f aca="false">AVERAGE(F383:F396)</f>
        <v>110.541428571429</v>
      </c>
      <c r="I397" s="0" t="n">
        <f aca="false">AVERAGE(F390:F396)</f>
        <v>108.072857142857</v>
      </c>
      <c r="J397" s="0" t="n">
        <f aca="false">AVERAGE(F394:F396)</f>
        <v>108.343333333333</v>
      </c>
      <c r="K397" s="10" t="n">
        <v>77.56</v>
      </c>
      <c r="L397" s="9" t="n">
        <f aca="false">(K397-K396)/K396</f>
        <v>0.0158480681074002</v>
      </c>
      <c r="M397" s="10" t="n">
        <v>76.64</v>
      </c>
      <c r="N397" s="9" t="n">
        <f aca="false">(M397-M396)/M396</f>
        <v>0.0124174372523117</v>
      </c>
      <c r="O397" s="0" t="n">
        <v>1.44</v>
      </c>
      <c r="P397" s="9" t="n">
        <f aca="false">(O397-O396)/O396</f>
        <v>0.0666666666666666</v>
      </c>
      <c r="Q397" s="10" t="n">
        <v>0.29</v>
      </c>
      <c r="R397" s="9" t="n">
        <f aca="false">(Q397-Q396)/Q396</f>
        <v>-0.194444444444444</v>
      </c>
      <c r="S397" s="10" t="n">
        <v>3.02</v>
      </c>
      <c r="T397" s="9" t="n">
        <f aca="false">(S397-S396)/S396</f>
        <v>0.0168350168350169</v>
      </c>
      <c r="U397" s="13" t="n">
        <v>2.87</v>
      </c>
      <c r="V397" s="9" t="n">
        <f aca="false">(U397-U396)/U396</f>
        <v>0.0213523131672598</v>
      </c>
      <c r="W397" s="0" t="n">
        <v>1.2909</v>
      </c>
      <c r="X397" s="23" t="n">
        <f aca="false">(W397-W396)/W396</f>
        <v>-0.0012379110251451</v>
      </c>
      <c r="Y397" s="0" t="n">
        <v>1.3601</v>
      </c>
      <c r="Z397" s="24" t="n">
        <f aca="false">(Y397-Y396)/Y396</f>
        <v>0.000220620679511832</v>
      </c>
    </row>
    <row r="398" customFormat="false" ht="13.8" hidden="false" customHeight="false" outlineLevel="0" collapsed="false">
      <c r="A398" s="8" t="n">
        <v>40392</v>
      </c>
      <c r="B398" s="0" t="n">
        <v>48.43</v>
      </c>
      <c r="C398" s="9" t="n">
        <f aca="false">(B398-B397)/B397</f>
        <v>-0.00431743421052633</v>
      </c>
      <c r="D398" s="0" t="n">
        <v>21.74</v>
      </c>
      <c r="E398" s="9" t="n">
        <f aca="false">(D398-D397)/D397</f>
        <v>-0.0748936170212767</v>
      </c>
      <c r="F398" s="0" t="n">
        <v>112.39</v>
      </c>
      <c r="G398" s="9" t="n">
        <f aca="false">(F398-F397)/F397</f>
        <v>0.0192255373174935</v>
      </c>
      <c r="H398" s="0" t="n">
        <f aca="false">AVERAGE(F384:F397)</f>
        <v>109.717142857143</v>
      </c>
      <c r="I398" s="0" t="n">
        <f aca="false">AVERAGE(F391:F397)</f>
        <v>108.157142857143</v>
      </c>
      <c r="J398" s="0" t="n">
        <f aca="false">AVERAGE(F395:F397)</f>
        <v>109.113333333333</v>
      </c>
      <c r="K398" s="10" t="n">
        <v>78.12</v>
      </c>
      <c r="L398" s="9" t="n">
        <f aca="false">(K398-K397)/K397</f>
        <v>0.00722021660649822</v>
      </c>
      <c r="M398" s="10" t="n">
        <v>77.24</v>
      </c>
      <c r="N398" s="9" t="n">
        <f aca="false">(M398-M397)/M397</f>
        <v>0.00782881002087675</v>
      </c>
      <c r="O398" s="0" t="n">
        <v>1.5</v>
      </c>
      <c r="P398" s="9" t="n">
        <f aca="false">(O398-O397)/O397</f>
        <v>0.0416666666666667</v>
      </c>
      <c r="Q398" s="10" t="n">
        <v>0.08</v>
      </c>
      <c r="R398" s="9" t="n">
        <f aca="false">(Q398-Q397)/Q397</f>
        <v>-0.724137931034483</v>
      </c>
      <c r="S398" s="10" t="n">
        <v>2.94</v>
      </c>
      <c r="T398" s="9" t="n">
        <f aca="false">(S398-S397)/S397</f>
        <v>-0.0264900662251656</v>
      </c>
      <c r="U398" s="13" t="n">
        <v>2.78</v>
      </c>
      <c r="V398" s="9" t="n">
        <f aca="false">(U398-U397)/U397</f>
        <v>-0.0313588850174216</v>
      </c>
      <c r="W398" s="0" t="n">
        <v>1.3054</v>
      </c>
      <c r="X398" s="23" t="n">
        <f aca="false">(W398-W397)/W397</f>
        <v>0.011232473468123</v>
      </c>
      <c r="Y398" s="0" t="n">
        <v>1.3578</v>
      </c>
      <c r="Z398" s="24" t="n">
        <f aca="false">(Y398-Y397)/Y397</f>
        <v>-0.0016910521285201</v>
      </c>
    </row>
    <row r="399" customFormat="false" ht="13.8" hidden="false" customHeight="false" outlineLevel="0" collapsed="false">
      <c r="A399" s="8" t="n">
        <v>40399</v>
      </c>
      <c r="B399" s="0" t="n">
        <v>45.95</v>
      </c>
      <c r="C399" s="9" t="n">
        <f aca="false">(B399-B398)/B398</f>
        <v>-0.0512079289696468</v>
      </c>
      <c r="D399" s="0" t="n">
        <v>26.24</v>
      </c>
      <c r="E399" s="9" t="n">
        <f aca="false">(D399-D398)/D398</f>
        <v>0.206991720331187</v>
      </c>
      <c r="F399" s="0" t="n">
        <v>108.31</v>
      </c>
      <c r="G399" s="9" t="n">
        <f aca="false">(F399-F398)/F398</f>
        <v>-0.0363021621140671</v>
      </c>
      <c r="H399" s="0" t="n">
        <f aca="false">AVERAGE(F385:F398)</f>
        <v>109.258571428571</v>
      </c>
      <c r="I399" s="0" t="n">
        <f aca="false">AVERAGE(F392:F398)</f>
        <v>108.251428571429</v>
      </c>
      <c r="J399" s="0" t="n">
        <f aca="false">AVERAGE(F396:F398)</f>
        <v>111.023333333333</v>
      </c>
      <c r="K399" s="10" t="n">
        <v>81.79</v>
      </c>
      <c r="L399" s="9" t="n">
        <f aca="false">(K399-K398)/K398</f>
        <v>0.046979006656426</v>
      </c>
      <c r="M399" s="10" t="n">
        <v>82.69</v>
      </c>
      <c r="N399" s="9" t="n">
        <f aca="false">(M399-M398)/M398</f>
        <v>0.070559295701709</v>
      </c>
      <c r="O399" s="0" t="n">
        <v>1.42</v>
      </c>
      <c r="P399" s="9" t="n">
        <f aca="false">(O399-O398)/O398</f>
        <v>-0.0533333333333334</v>
      </c>
      <c r="Q399" s="10" t="n">
        <v>0.06</v>
      </c>
      <c r="R399" s="9" t="n">
        <f aca="false">(Q399-Q398)/Q398</f>
        <v>-0.25</v>
      </c>
      <c r="S399" s="10" t="n">
        <v>2.76</v>
      </c>
      <c r="T399" s="9" t="n">
        <f aca="false">(S399-S398)/S398</f>
        <v>-0.0612244897959184</v>
      </c>
      <c r="U399" s="13" t="n">
        <v>2.61</v>
      </c>
      <c r="V399" s="9" t="n">
        <f aca="false">(U399-U398)/U398</f>
        <v>-0.0611510791366908</v>
      </c>
      <c r="W399" s="0" t="n">
        <v>1.3288</v>
      </c>
      <c r="X399" s="23" t="n">
        <f aca="false">(W399-W398)/W398</f>
        <v>0.0179255400643482</v>
      </c>
      <c r="Y399" s="0" t="n">
        <v>1.3787</v>
      </c>
      <c r="Z399" s="24" t="n">
        <f aca="false">(Y399-Y398)/Y398</f>
        <v>0.0153925467668288</v>
      </c>
    </row>
    <row r="400" customFormat="false" ht="13.8" hidden="false" customHeight="false" outlineLevel="0" collapsed="false">
      <c r="A400" s="8" t="n">
        <v>40406</v>
      </c>
      <c r="B400" s="0" t="n">
        <v>44.82</v>
      </c>
      <c r="C400" s="9" t="n">
        <f aca="false">(B400-B399)/B399</f>
        <v>-0.0245919477693145</v>
      </c>
      <c r="D400" s="0" t="n">
        <v>25.49</v>
      </c>
      <c r="E400" s="9" t="n">
        <f aca="false">(D400-D399)/D399</f>
        <v>-0.0285823170731707</v>
      </c>
      <c r="F400" s="0" t="n">
        <v>107.53</v>
      </c>
      <c r="G400" s="9" t="n">
        <f aca="false">(F400-F399)/F399</f>
        <v>-0.00720155110331457</v>
      </c>
      <c r="H400" s="0" t="n">
        <f aca="false">AVERAGE(F386:F399)</f>
        <v>109.047857142857</v>
      </c>
      <c r="I400" s="0" t="n">
        <f aca="false">AVERAGE(F393:F399)</f>
        <v>108.314285714286</v>
      </c>
      <c r="J400" s="0" t="n">
        <f aca="false">AVERAGE(F397:F399)</f>
        <v>110.323333333333</v>
      </c>
      <c r="K400" s="10" t="n">
        <v>78.17</v>
      </c>
      <c r="L400" s="9" t="n">
        <f aca="false">(K400-K399)/K399</f>
        <v>-0.0442596894485879</v>
      </c>
      <c r="M400" s="10" t="n">
        <v>78.21</v>
      </c>
      <c r="N400" s="9" t="n">
        <f aca="false">(M400-M399)/M399</f>
        <v>-0.0541782561373806</v>
      </c>
      <c r="O400" s="0" t="n">
        <v>1.27</v>
      </c>
      <c r="P400" s="9" t="n">
        <f aca="false">(O400-O399)/O399</f>
        <v>-0.105633802816901</v>
      </c>
      <c r="Q400" s="10" t="n">
        <v>0.17</v>
      </c>
      <c r="R400" s="9" t="n">
        <f aca="false">(Q400-Q399)/Q399</f>
        <v>1.83333333333333</v>
      </c>
      <c r="S400" s="10" t="n">
        <v>2.61</v>
      </c>
      <c r="T400" s="9" t="n">
        <f aca="false">(S400-S399)/S399</f>
        <v>-0.0543478260869565</v>
      </c>
      <c r="U400" s="13" t="n">
        <v>2.45</v>
      </c>
      <c r="V400" s="9" t="n">
        <f aca="false">(U400-U399)/U399</f>
        <v>-0.0613026819923372</v>
      </c>
      <c r="W400" s="0" t="n">
        <v>1.2753</v>
      </c>
      <c r="X400" s="23" t="n">
        <f aca="false">(W400-W399)/W399</f>
        <v>-0.0402618904274533</v>
      </c>
      <c r="Y400" s="0" t="n">
        <v>1.342</v>
      </c>
      <c r="Z400" s="24" t="n">
        <f aca="false">(Y400-Y399)/Y399</f>
        <v>-0.0266192790309712</v>
      </c>
    </row>
    <row r="401" customFormat="false" ht="13.8" hidden="false" customHeight="false" outlineLevel="0" collapsed="false">
      <c r="A401" s="8" t="n">
        <v>40413</v>
      </c>
      <c r="B401" s="0" t="n">
        <v>44.19</v>
      </c>
      <c r="C401" s="9" t="n">
        <f aca="false">(B401-B400)/B400</f>
        <v>-0.0140562248995985</v>
      </c>
      <c r="D401" s="0" t="n">
        <v>24.45</v>
      </c>
      <c r="E401" s="9" t="n">
        <f aca="false">(D401-D400)/D400</f>
        <v>-0.040800313848568</v>
      </c>
      <c r="F401" s="0" t="n">
        <v>106.86</v>
      </c>
      <c r="G401" s="9" t="n">
        <f aca="false">(F401-F400)/F400</f>
        <v>-0.00623081930624014</v>
      </c>
      <c r="H401" s="0" t="n">
        <f aca="false">AVERAGE(F387:F400)</f>
        <v>108.593571428571</v>
      </c>
      <c r="I401" s="0" t="n">
        <f aca="false">AVERAGE(F394:F400)</f>
        <v>109.075714285714</v>
      </c>
      <c r="J401" s="0" t="n">
        <f aca="false">AVERAGE(F398:F400)</f>
        <v>109.41</v>
      </c>
      <c r="K401" s="10" t="n">
        <v>74.84</v>
      </c>
      <c r="L401" s="9" t="n">
        <f aca="false">(K401-K400)/K400</f>
        <v>-0.0425994627094793</v>
      </c>
      <c r="M401" s="10" t="n">
        <v>74.94</v>
      </c>
      <c r="N401" s="9" t="n">
        <f aca="false">(M401-M400)/M400</f>
        <v>-0.0418105101649405</v>
      </c>
      <c r="O401" s="0" t="n">
        <v>1.22</v>
      </c>
      <c r="P401" s="9" t="n">
        <f aca="false">(O401-O400)/O400</f>
        <v>-0.0393700787401575</v>
      </c>
      <c r="Q401" s="10" t="n">
        <v>0.19</v>
      </c>
      <c r="R401" s="9" t="n">
        <f aca="false">(Q401-Q400)/Q400</f>
        <v>0.117647058823529</v>
      </c>
      <c r="S401" s="10" t="n">
        <v>2.56</v>
      </c>
      <c r="T401" s="9" t="n">
        <f aca="false">(S401-S400)/S400</f>
        <v>-0.0191570881226053</v>
      </c>
      <c r="U401" s="13" t="n">
        <v>2.4</v>
      </c>
      <c r="V401" s="9" t="n">
        <f aca="false">(U401-U400)/U400</f>
        <v>-0.0204081632653061</v>
      </c>
      <c r="W401" s="0" t="n">
        <v>1.2708</v>
      </c>
      <c r="X401" s="23" t="n">
        <f aca="false">(W401-W400)/W400</f>
        <v>-0.00352858151023302</v>
      </c>
      <c r="Y401" s="0" t="n">
        <v>1.3157</v>
      </c>
      <c r="Z401" s="24" t="n">
        <f aca="false">(Y401-Y400)/Y400</f>
        <v>-0.0195976154992548</v>
      </c>
    </row>
    <row r="402" customFormat="false" ht="13.8" hidden="false" customHeight="false" outlineLevel="0" collapsed="false">
      <c r="A402" s="8" t="n">
        <v>40420</v>
      </c>
      <c r="B402" s="0" t="n">
        <v>46.63</v>
      </c>
      <c r="C402" s="9" t="n">
        <f aca="false">(B402-B401)/B401</f>
        <v>0.0552161122425889</v>
      </c>
      <c r="D402" s="0" t="n">
        <v>21.31</v>
      </c>
      <c r="E402" s="9" t="n">
        <f aca="false">(D402-D401)/D401</f>
        <v>-0.128425357873211</v>
      </c>
      <c r="F402" s="0" t="n">
        <v>110.89</v>
      </c>
      <c r="G402" s="9" t="n">
        <f aca="false">(F402-F401)/F401</f>
        <v>0.037712895377129</v>
      </c>
      <c r="H402" s="0" t="n">
        <f aca="false">AVERAGE(F388:F401)</f>
        <v>108.432857142857</v>
      </c>
      <c r="I402" s="0" t="n">
        <f aca="false">AVERAGE(F395:F401)</f>
        <v>108.918571428571</v>
      </c>
      <c r="J402" s="0" t="n">
        <f aca="false">AVERAGE(F399:F401)</f>
        <v>107.566666666667</v>
      </c>
      <c r="K402" s="10" t="n">
        <v>72.91</v>
      </c>
      <c r="L402" s="9" t="n">
        <f aca="false">(K402-K401)/K401</f>
        <v>-0.0257883484767505</v>
      </c>
      <c r="M402" s="10" t="n">
        <v>72.82</v>
      </c>
      <c r="N402" s="9" t="n">
        <f aca="false">(M402-M401)/M401</f>
        <v>-0.0282892981051508</v>
      </c>
      <c r="O402" s="0" t="n">
        <v>1.22</v>
      </c>
      <c r="P402" s="9" t="n">
        <f aca="false">(O402-O401)/O401</f>
        <v>0</v>
      </c>
      <c r="Q402" s="10" t="n">
        <v>0.19</v>
      </c>
      <c r="R402" s="9" t="n">
        <f aca="false">(Q402-Q401)/Q401</f>
        <v>0</v>
      </c>
      <c r="S402" s="10" t="n">
        <v>2.59</v>
      </c>
      <c r="T402" s="9" t="n">
        <f aca="false">(S402-S401)/S401</f>
        <v>0.0117187499999999</v>
      </c>
      <c r="U402" s="13" t="n">
        <v>2.45</v>
      </c>
      <c r="V402" s="9" t="n">
        <f aca="false">(U402-U401)/U401</f>
        <v>0.0208333333333333</v>
      </c>
      <c r="W402" s="0" t="n">
        <v>1.2738</v>
      </c>
      <c r="X402" s="23" t="n">
        <f aca="false">(W402-W401)/W401</f>
        <v>0.00236071765816817</v>
      </c>
      <c r="Y402" s="0" t="n">
        <v>1.3111</v>
      </c>
      <c r="Z402" s="24" t="n">
        <f aca="false">(Y402-Y401)/Y401</f>
        <v>-0.00349623774416672</v>
      </c>
    </row>
    <row r="403" customFormat="false" ht="13.8" hidden="false" customHeight="false" outlineLevel="0" collapsed="false">
      <c r="A403" s="8" t="n">
        <v>40428</v>
      </c>
      <c r="B403" s="0" t="n">
        <v>46.56</v>
      </c>
      <c r="C403" s="9" t="n">
        <f aca="false">(B403-B402)/B402</f>
        <v>-0.00150117949817715</v>
      </c>
      <c r="D403" s="0" t="n">
        <v>21.99</v>
      </c>
      <c r="E403" s="9" t="n">
        <f aca="false">(D403-D402)/D402</f>
        <v>0.0319099014547161</v>
      </c>
      <c r="F403" s="0" t="n">
        <v>111.48</v>
      </c>
      <c r="G403" s="9" t="n">
        <f aca="false">(F403-F402)/F402</f>
        <v>0.00532058797006045</v>
      </c>
      <c r="H403" s="0" t="n">
        <f aca="false">AVERAGE(F389:F402)</f>
        <v>108.541428571429</v>
      </c>
      <c r="I403" s="0" t="n">
        <f aca="false">AVERAGE(F396:F402)</f>
        <v>109.522857142857</v>
      </c>
      <c r="J403" s="0" t="n">
        <f aca="false">AVERAGE(F400:F402)</f>
        <v>108.426666666667</v>
      </c>
      <c r="K403" s="10" t="n">
        <v>74.02</v>
      </c>
      <c r="L403" s="9" t="n">
        <f aca="false">(K403-K402)/K402</f>
        <v>0.0152242490742011</v>
      </c>
      <c r="M403" s="10" t="n">
        <v>75.41</v>
      </c>
      <c r="N403" s="9" t="n">
        <f aca="false">(M403-M402)/M402</f>
        <v>0.0355671518813513</v>
      </c>
      <c r="O403" s="0" t="n">
        <v>1.28</v>
      </c>
      <c r="P403" s="9" t="n">
        <f aca="false">(O403-O402)/O402</f>
        <v>0.0491803278688525</v>
      </c>
      <c r="Q403" s="10" t="n">
        <v>0.23</v>
      </c>
      <c r="R403" s="9" t="n">
        <f aca="false">(Q403-Q402)/Q402</f>
        <v>0.210526315789474</v>
      </c>
      <c r="S403" s="10" t="n">
        <v>2.71</v>
      </c>
      <c r="T403" s="9" t="n">
        <f aca="false">(S403-S402)/S402</f>
        <v>0.0463320463320464</v>
      </c>
      <c r="U403" s="13" t="n">
        <v>2.57</v>
      </c>
      <c r="V403" s="9" t="n">
        <f aca="false">(U403-U402)/U402</f>
        <v>0.0489795918367349</v>
      </c>
      <c r="W403" s="0" t="n">
        <v>1.2891</v>
      </c>
      <c r="X403" s="23" t="n">
        <f aca="false">(W403-W402)/W402</f>
        <v>0.0120113047574186</v>
      </c>
      <c r="Y403" s="0" t="n">
        <v>1.3106</v>
      </c>
      <c r="Z403" s="24" t="n">
        <f aca="false">(Y403-Y402)/Y402</f>
        <v>-0.00038135916406067</v>
      </c>
    </row>
    <row r="404" customFormat="false" ht="13.8" hidden="false" customHeight="false" outlineLevel="0" collapsed="false">
      <c r="A404" s="8" t="n">
        <v>40434</v>
      </c>
      <c r="B404" s="0" t="n">
        <v>46.84</v>
      </c>
      <c r="C404" s="9" t="n">
        <f aca="false">(B404-B403)/B403</f>
        <v>0.00601374570446738</v>
      </c>
      <c r="D404" s="0" t="n">
        <v>22.01</v>
      </c>
      <c r="E404" s="9" t="n">
        <f aca="false">(D404-D403)/D403</f>
        <v>0.000909504320145663</v>
      </c>
      <c r="F404" s="0" t="n">
        <v>112.49</v>
      </c>
      <c r="G404" s="9" t="n">
        <f aca="false">(F404-F403)/F403</f>
        <v>0.00905992106207383</v>
      </c>
      <c r="H404" s="0" t="n">
        <f aca="false">AVERAGE(F390:F403)</f>
        <v>108.874285714286</v>
      </c>
      <c r="I404" s="0" t="n">
        <f aca="false">AVERAGE(F397:F403)</f>
        <v>109.675714285714</v>
      </c>
      <c r="J404" s="0" t="n">
        <f aca="false">AVERAGE(F401:F403)</f>
        <v>109.743333333333</v>
      </c>
      <c r="K404" s="10" t="n">
        <v>74.82</v>
      </c>
      <c r="L404" s="9" t="n">
        <f aca="false">(K404-K403)/K403</f>
        <v>0.0108078897595244</v>
      </c>
      <c r="M404" s="10" t="n">
        <v>77.17</v>
      </c>
      <c r="N404" s="9" t="n">
        <f aca="false">(M404-M403)/M403</f>
        <v>0.0233390796976529</v>
      </c>
      <c r="O404" s="0" t="n">
        <v>1.29</v>
      </c>
      <c r="P404" s="9" t="n">
        <f aca="false">(O404-O403)/O403</f>
        <v>0.00781250000000001</v>
      </c>
      <c r="Q404" s="10" t="n">
        <v>0.18</v>
      </c>
      <c r="R404" s="9" t="n">
        <f aca="false">(Q404-Q403)/Q403</f>
        <v>-0.217391304347826</v>
      </c>
      <c r="S404" s="10" t="n">
        <v>2.74</v>
      </c>
      <c r="T404" s="9" t="n">
        <f aca="false">(S404-S403)/S403</f>
        <v>0.0110701107011071</v>
      </c>
      <c r="U404" s="13" t="n">
        <v>2.59</v>
      </c>
      <c r="V404" s="9" t="n">
        <f aca="false">(U404-U403)/U403</f>
        <v>0.00778210116731518</v>
      </c>
      <c r="W404" s="0" t="n">
        <v>1.2707</v>
      </c>
      <c r="X404" s="23" t="n">
        <f aca="false">(W404-W403)/W403</f>
        <v>-0.0142735241641455</v>
      </c>
      <c r="Y404" s="0" t="n">
        <v>1.2954</v>
      </c>
      <c r="Z404" s="24" t="n">
        <f aca="false">(Y404-Y403)/Y403</f>
        <v>-0.0115977414924461</v>
      </c>
    </row>
    <row r="405" customFormat="false" ht="13.8" hidden="false" customHeight="false" outlineLevel="0" collapsed="false">
      <c r="A405" s="8" t="n">
        <v>40441</v>
      </c>
      <c r="B405" s="0" t="n">
        <v>46.94</v>
      </c>
      <c r="C405" s="9" t="n">
        <f aca="false">(B405-B404)/B404</f>
        <v>0.00213492741246785</v>
      </c>
      <c r="D405" s="0" t="n">
        <v>21.71</v>
      </c>
      <c r="E405" s="9" t="n">
        <f aca="false">(D405-D404)/D404</f>
        <v>-0.0136301681054067</v>
      </c>
      <c r="F405" s="0" t="n">
        <v>114.82</v>
      </c>
      <c r="G405" s="9" t="n">
        <f aca="false">(F405-F404)/F404</f>
        <v>0.0207129522624233</v>
      </c>
      <c r="H405" s="0" t="n">
        <f aca="false">AVERAGE(F391:F404)</f>
        <v>109.075</v>
      </c>
      <c r="I405" s="0" t="n">
        <f aca="false">AVERAGE(F398:F404)</f>
        <v>109.992857142857</v>
      </c>
      <c r="J405" s="0" t="n">
        <f aca="false">AVERAGE(F402:F404)</f>
        <v>111.62</v>
      </c>
      <c r="K405" s="10" t="n">
        <v>75.62</v>
      </c>
      <c r="L405" s="9" t="n">
        <f aca="false">(K405-K404)/K404</f>
        <v>0.0106923282544776</v>
      </c>
      <c r="M405" s="10" t="n">
        <v>78.44</v>
      </c>
      <c r="N405" s="9" t="n">
        <f aca="false">(M405-M404)/M404</f>
        <v>0.0164571724763509</v>
      </c>
      <c r="O405" s="0" t="n">
        <v>1.29</v>
      </c>
      <c r="P405" s="9" t="n">
        <f aca="false">(O405-O404)/O404</f>
        <v>0</v>
      </c>
      <c r="Q405" s="10" t="n">
        <v>0.07</v>
      </c>
      <c r="R405" s="9" t="n">
        <f aca="false">(Q405-Q404)/Q404</f>
        <v>-0.611111111111111</v>
      </c>
      <c r="S405" s="10" t="n">
        <v>2.61</v>
      </c>
      <c r="T405" s="9" t="n">
        <f aca="false">(S405-S404)/S404</f>
        <v>-0.0474452554744527</v>
      </c>
      <c r="U405" s="13" t="n">
        <v>2.45</v>
      </c>
      <c r="V405" s="9" t="n">
        <f aca="false">(U405-U404)/U404</f>
        <v>-0.0540540540540543</v>
      </c>
      <c r="W405" s="0" t="n">
        <v>1.3042</v>
      </c>
      <c r="X405" s="23" t="n">
        <f aca="false">(W405-W404)/W404</f>
        <v>0.0263634217360511</v>
      </c>
      <c r="Y405" s="0" t="n">
        <v>1.3167</v>
      </c>
      <c r="Z405" s="24" t="n">
        <f aca="false">(Y405-Y404)/Y404</f>
        <v>0.0164427975914774</v>
      </c>
    </row>
    <row r="406" customFormat="false" ht="13.8" hidden="false" customHeight="false" outlineLevel="0" collapsed="false">
      <c r="A406" s="8" t="n">
        <v>40448</v>
      </c>
      <c r="B406" s="0" t="n">
        <v>46.72</v>
      </c>
      <c r="C406" s="9" t="n">
        <f aca="false">(B406-B405)/B405</f>
        <v>-0.00468683425649763</v>
      </c>
      <c r="D406" s="0" t="n">
        <v>22.5</v>
      </c>
      <c r="E406" s="9" t="n">
        <f aca="false">(D406-D405)/D405</f>
        <v>0.0363887609396591</v>
      </c>
      <c r="F406" s="0" t="n">
        <v>114.61</v>
      </c>
      <c r="G406" s="9" t="n">
        <f aca="false">(F406-F405)/F405</f>
        <v>-0.00182894966033787</v>
      </c>
      <c r="H406" s="0" t="n">
        <f aca="false">AVERAGE(F392:F405)</f>
        <v>109.295714285714</v>
      </c>
      <c r="I406" s="0" t="n">
        <f aca="false">AVERAGE(F399:F405)</f>
        <v>110.34</v>
      </c>
      <c r="J406" s="0" t="n">
        <f aca="false">AVERAGE(F403:F405)</f>
        <v>112.93</v>
      </c>
      <c r="K406" s="10" t="n">
        <v>73.76</v>
      </c>
      <c r="L406" s="9" t="n">
        <f aca="false">(K406-K405)/K405</f>
        <v>-0.0245966675482676</v>
      </c>
      <c r="M406" s="10" t="n">
        <v>78.38</v>
      </c>
      <c r="N406" s="9" t="n">
        <f aca="false">(M406-M405)/M405</f>
        <v>-0.000764915859255511</v>
      </c>
      <c r="O406" s="0" t="n">
        <v>1.3</v>
      </c>
      <c r="P406" s="9" t="n">
        <f aca="false">(O406-O405)/O405</f>
        <v>0.00775193798449613</v>
      </c>
      <c r="Q406" s="10" t="n">
        <v>-0.03</v>
      </c>
      <c r="R406" s="9" t="n">
        <f aca="false">(Q406-Q405)/Q405</f>
        <v>-1.42857142857143</v>
      </c>
      <c r="S406" s="10" t="n">
        <v>2.52</v>
      </c>
      <c r="T406" s="9" t="n">
        <f aca="false">(S406-S405)/S405</f>
        <v>-0.0344827586206896</v>
      </c>
      <c r="U406" s="13" t="n">
        <v>2.36</v>
      </c>
      <c r="V406" s="9" t="n">
        <f aca="false">(U406-U405)/U405</f>
        <v>-0.036734693877551</v>
      </c>
      <c r="W406" s="0" t="n">
        <v>1.3484</v>
      </c>
      <c r="X406" s="23" t="n">
        <f aca="false">(W406-W405)/W405</f>
        <v>0.0338905075908603</v>
      </c>
      <c r="Y406" s="0" t="n">
        <v>1.3285</v>
      </c>
      <c r="Z406" s="24" t="n">
        <f aca="false">(Y406-Y405)/Y405</f>
        <v>0.00896179843548267</v>
      </c>
    </row>
    <row r="407" customFormat="false" ht="13.8" hidden="false" customHeight="false" outlineLevel="0" collapsed="false">
      <c r="A407" s="8" t="n">
        <v>40455</v>
      </c>
      <c r="B407" s="0" t="n">
        <v>47.37</v>
      </c>
      <c r="C407" s="9" t="n">
        <f aca="false">(B407-B406)/B406</f>
        <v>0.0139126712328767</v>
      </c>
      <c r="D407" s="0" t="n">
        <v>20.71</v>
      </c>
      <c r="E407" s="9" t="n">
        <f aca="false">(D407-D406)/D406</f>
        <v>-0.0795555555555555</v>
      </c>
      <c r="F407" s="0" t="n">
        <v>116.54</v>
      </c>
      <c r="G407" s="9" t="n">
        <f aca="false">(F407-F406)/F406</f>
        <v>0.0168397173021552</v>
      </c>
      <c r="H407" s="0" t="n">
        <f aca="false">AVERAGE(F393:F406)</f>
        <v>109.777142857143</v>
      </c>
      <c r="I407" s="0" t="n">
        <f aca="false">AVERAGE(F400:F406)</f>
        <v>111.24</v>
      </c>
      <c r="J407" s="0" t="n">
        <f aca="false">AVERAGE(F404:F406)</f>
        <v>113.973333333333</v>
      </c>
      <c r="K407" s="10" t="n">
        <v>78.41</v>
      </c>
      <c r="L407" s="9" t="n">
        <f aca="false">(K407-K406)/K406</f>
        <v>0.0630422993492407</v>
      </c>
      <c r="M407" s="10" t="n">
        <v>79.82</v>
      </c>
      <c r="N407" s="9" t="n">
        <f aca="false">(M407-M406)/M406</f>
        <v>0.0183720336820617</v>
      </c>
      <c r="O407" s="0" t="n">
        <v>1.41</v>
      </c>
      <c r="P407" s="9" t="n">
        <f aca="false">(O407-O406)/O406</f>
        <v>0.0846153846153847</v>
      </c>
      <c r="Q407" s="10" t="n">
        <v>-0.24</v>
      </c>
      <c r="R407" s="9" t="n">
        <f aca="false">(Q407-Q406)/Q406</f>
        <v>7</v>
      </c>
      <c r="S407" s="10" t="n">
        <v>2.45</v>
      </c>
      <c r="T407" s="9" t="n">
        <f aca="false">(S407-S406)/S406</f>
        <v>-0.0277777777777777</v>
      </c>
      <c r="U407" s="13" t="n">
        <v>2.32</v>
      </c>
      <c r="V407" s="9" t="n">
        <f aca="false">(U407-U406)/U406</f>
        <v>-0.0169491525423727</v>
      </c>
      <c r="W407" s="0" t="n">
        <v>1.3778</v>
      </c>
      <c r="X407" s="23" t="n">
        <f aca="false">(W407-W406)/W406</f>
        <v>0.0218036191041233</v>
      </c>
      <c r="Y407" s="0" t="n">
        <v>1.3431</v>
      </c>
      <c r="Z407" s="24" t="n">
        <f aca="false">(Y407-Y406)/Y406</f>
        <v>0.0109898381633421</v>
      </c>
    </row>
    <row r="408" customFormat="false" ht="13.8" hidden="false" customHeight="false" outlineLevel="0" collapsed="false">
      <c r="A408" s="8" t="n">
        <v>40462</v>
      </c>
      <c r="B408" s="0" t="n">
        <v>45.24</v>
      </c>
      <c r="C408" s="9" t="n">
        <f aca="false">(B408-B407)/B407</f>
        <v>-0.044965167827739</v>
      </c>
      <c r="D408" s="0" t="n">
        <v>19.03</v>
      </c>
      <c r="E408" s="9" t="n">
        <f aca="false">(D408-D407)/D407</f>
        <v>-0.0811202317720908</v>
      </c>
      <c r="F408" s="0" t="n">
        <v>117.7</v>
      </c>
      <c r="G408" s="9" t="n">
        <f aca="false">(F408-F407)/F407</f>
        <v>0.00995366397803326</v>
      </c>
      <c r="H408" s="0" t="n">
        <f aca="false">AVERAGE(F394:F407)</f>
        <v>110.801428571429</v>
      </c>
      <c r="I408" s="0" t="n">
        <f aca="false">AVERAGE(F401:F407)</f>
        <v>112.527142857143</v>
      </c>
      <c r="J408" s="0" t="n">
        <f aca="false">AVERAGE(F405:F407)</f>
        <v>115.323333333333</v>
      </c>
      <c r="K408" s="10" t="n">
        <v>82.29</v>
      </c>
      <c r="L408" s="9" t="n">
        <f aca="false">(K408-K407)/K407</f>
        <v>0.0494834842494581</v>
      </c>
      <c r="M408" s="10" t="n">
        <v>83.87</v>
      </c>
      <c r="N408" s="9" t="n">
        <f aca="false">(M408-M407)/M407</f>
        <v>0.0507391631170134</v>
      </c>
      <c r="O408" s="0" t="n">
        <v>1.57</v>
      </c>
      <c r="P408" s="9" t="n">
        <f aca="false">(O408-O407)/O407</f>
        <v>0.113475177304964</v>
      </c>
      <c r="Q408" s="10" t="n">
        <v>-0.41</v>
      </c>
      <c r="R408" s="9" t="n">
        <f aca="false">(Q408-Q407)/Q407</f>
        <v>0.708333333333334</v>
      </c>
      <c r="S408" s="10" t="n">
        <v>2.5</v>
      </c>
      <c r="T408" s="9" t="n">
        <f aca="false">(S408-S407)/S407</f>
        <v>0.020408163265306</v>
      </c>
      <c r="U408" s="13" t="n">
        <v>2.36</v>
      </c>
      <c r="V408" s="9" t="n">
        <f aca="false">(U408-U407)/U407</f>
        <v>0.0172413793103447</v>
      </c>
      <c r="W408" s="0" t="n">
        <v>1.3922</v>
      </c>
      <c r="X408" s="23" t="n">
        <f aca="false">(W408-W407)/W407</f>
        <v>0.0104514443315432</v>
      </c>
      <c r="Y408" s="0" t="n">
        <v>1.3415</v>
      </c>
      <c r="Z408" s="24" t="n">
        <f aca="false">(Y408-Y407)/Y407</f>
        <v>-0.00119127391854668</v>
      </c>
    </row>
    <row r="409" customFormat="false" ht="13.8" hidden="false" customHeight="false" outlineLevel="0" collapsed="false">
      <c r="A409" s="8" t="n">
        <v>40469</v>
      </c>
      <c r="B409" s="0" t="n">
        <v>45.99</v>
      </c>
      <c r="C409" s="9" t="n">
        <f aca="false">(B409-B408)/B408</f>
        <v>0.01657824933687</v>
      </c>
      <c r="D409" s="0" t="n">
        <v>18.78</v>
      </c>
      <c r="E409" s="9" t="n">
        <f aca="false">(D409-D408)/D408</f>
        <v>-0.0131371518654756</v>
      </c>
      <c r="F409" s="0" t="n">
        <v>118.35</v>
      </c>
      <c r="G409" s="9" t="n">
        <f aca="false">(F409-F408)/F408</f>
        <v>0.00552251486830919</v>
      </c>
      <c r="H409" s="0" t="n">
        <f aca="false">AVERAGE(F395:F408)</f>
        <v>111.497142857143</v>
      </c>
      <c r="I409" s="0" t="n">
        <f aca="false">AVERAGE(F402:F408)</f>
        <v>114.075714285714</v>
      </c>
      <c r="J409" s="0" t="n">
        <f aca="false">AVERAGE(F406:F408)</f>
        <v>116.283333333333</v>
      </c>
      <c r="K409" s="10" t="n">
        <v>82.16</v>
      </c>
      <c r="L409" s="9" t="n">
        <f aca="false">(K409-K408)/K408</f>
        <v>-0.00157977883096378</v>
      </c>
      <c r="M409" s="10" t="n">
        <v>83.11</v>
      </c>
      <c r="N409" s="9" t="n">
        <f aca="false">(M409-M408)/M408</f>
        <v>-0.00906164301895797</v>
      </c>
      <c r="O409" s="0" t="n">
        <v>1.52</v>
      </c>
      <c r="P409" s="9" t="n">
        <f aca="false">(O409-O408)/O408</f>
        <v>-0.0318471337579617</v>
      </c>
      <c r="Q409" s="10" t="n">
        <v>-0.38</v>
      </c>
      <c r="R409" s="9" t="n">
        <f aca="false">(Q409-Q408)/Q408</f>
        <v>-0.0731707317073171</v>
      </c>
      <c r="S409" s="10" t="n">
        <v>2.54</v>
      </c>
      <c r="T409" s="9" t="n">
        <f aca="false">(S409-S408)/S408</f>
        <v>0.016</v>
      </c>
      <c r="U409" s="13" t="n">
        <v>2.4</v>
      </c>
      <c r="V409" s="9" t="n">
        <f aca="false">(U409-U408)/U408</f>
        <v>0.0169491525423729</v>
      </c>
      <c r="W409" s="0" t="n">
        <v>1.3969</v>
      </c>
      <c r="X409" s="23" t="n">
        <f aca="false">(W409-W408)/W408</f>
        <v>0.00337595173107307</v>
      </c>
      <c r="Y409" s="0" t="n">
        <v>1.3402</v>
      </c>
      <c r="Z409" s="24" t="n">
        <f aca="false">(Y409-Y408)/Y408</f>
        <v>-0.000969064480059528</v>
      </c>
    </row>
    <row r="410" customFormat="false" ht="13.8" hidden="false" customHeight="false" outlineLevel="0" collapsed="false">
      <c r="A410" s="8" t="n">
        <v>40476</v>
      </c>
      <c r="B410" s="0" t="n">
        <v>45.49</v>
      </c>
      <c r="C410" s="9" t="n">
        <f aca="false">(B410-B409)/B409</f>
        <v>-0.0108719286801479</v>
      </c>
      <c r="D410" s="0" t="n">
        <v>21.2</v>
      </c>
      <c r="E410" s="9" t="n">
        <f aca="false">(D410-D409)/D409</f>
        <v>0.128860489882854</v>
      </c>
      <c r="F410" s="0" t="n">
        <v>118.49</v>
      </c>
      <c r="G410" s="9" t="n">
        <f aca="false">(F410-F409)/F409</f>
        <v>0.00118293198141107</v>
      </c>
      <c r="H410" s="0" t="n">
        <f aca="false">AVERAGE(F396:F409)</f>
        <v>112.332142857143</v>
      </c>
      <c r="I410" s="0" t="n">
        <f aca="false">AVERAGE(F403:F409)</f>
        <v>115.141428571429</v>
      </c>
      <c r="J410" s="0" t="n">
        <f aca="false">AVERAGE(F407:F409)</f>
        <v>117.53</v>
      </c>
      <c r="K410" s="10" t="n">
        <v>81.15</v>
      </c>
      <c r="L410" s="9" t="n">
        <f aca="false">(K410-K409)/K409</f>
        <v>-0.0122930866601752</v>
      </c>
      <c r="M410" s="10" t="n">
        <v>81.43</v>
      </c>
      <c r="N410" s="9" t="n">
        <f aca="false">(M410-M409)/M409</f>
        <v>-0.0202141739862831</v>
      </c>
      <c r="O410" s="0" t="n">
        <v>1.57</v>
      </c>
      <c r="P410" s="9" t="n">
        <f aca="false">(O410-O409)/O409</f>
        <v>0.0328947368421053</v>
      </c>
      <c r="Q410" s="10" t="n">
        <v>-0.33</v>
      </c>
      <c r="R410" s="9" t="n">
        <f aca="false">(Q410-Q409)/Q409</f>
        <v>-0.131578947368421</v>
      </c>
      <c r="S410" s="10" t="n">
        <v>2.67</v>
      </c>
      <c r="T410" s="9" t="n">
        <f aca="false">(S410-S409)/S409</f>
        <v>0.0511811023622047</v>
      </c>
      <c r="U410" s="13" t="n">
        <v>2.54</v>
      </c>
      <c r="V410" s="9" t="n">
        <f aca="false">(U410-U409)/U409</f>
        <v>0.0583333333333334</v>
      </c>
      <c r="W410" s="0" t="n">
        <v>1.3934</v>
      </c>
      <c r="X410" s="23" t="n">
        <f aca="false">(W410-W409)/W409</f>
        <v>-0.002505547999141</v>
      </c>
      <c r="Y410" s="0" t="n">
        <v>1.3633</v>
      </c>
      <c r="Z410" s="24" t="n">
        <f aca="false">(Y410-Y409)/Y409</f>
        <v>0.0172362333980002</v>
      </c>
    </row>
    <row r="411" customFormat="false" ht="13.8" hidden="false" customHeight="false" outlineLevel="0" collapsed="false">
      <c r="A411" s="8" t="n">
        <v>40483</v>
      </c>
      <c r="B411" s="0" t="n">
        <v>48.68</v>
      </c>
      <c r="C411" s="9" t="n">
        <f aca="false">(B411-B410)/B410</f>
        <v>0.0701253022642338</v>
      </c>
      <c r="D411" s="0" t="n">
        <v>18.26</v>
      </c>
      <c r="E411" s="9" t="n">
        <f aca="false">(D411-D410)/D410</f>
        <v>-0.138679245283019</v>
      </c>
      <c r="F411" s="0" t="n">
        <v>122.72</v>
      </c>
      <c r="G411" s="9" t="n">
        <f aca="false">(F411-F410)/F410</f>
        <v>0.0356992151236392</v>
      </c>
      <c r="H411" s="0" t="n">
        <f aca="false">AVERAGE(F397:F410)</f>
        <v>112.909285714286</v>
      </c>
      <c r="I411" s="0" t="n">
        <f aca="false">AVERAGE(F404:F410)</f>
        <v>116.142857142857</v>
      </c>
      <c r="J411" s="0" t="n">
        <f aca="false">AVERAGE(F408:F410)</f>
        <v>118.18</v>
      </c>
      <c r="K411" s="10" t="n">
        <v>82.03</v>
      </c>
      <c r="L411" s="9" t="n">
        <f aca="false">(K411-K410)/K410</f>
        <v>0.0108441158348736</v>
      </c>
      <c r="M411" s="10" t="n">
        <v>82.25</v>
      </c>
      <c r="N411" s="9" t="n">
        <f aca="false">(M411-M410)/M410</f>
        <v>0.0100699987719513</v>
      </c>
      <c r="O411" s="0" t="n">
        <v>1.52</v>
      </c>
      <c r="P411" s="9" t="n">
        <f aca="false">(O411-O410)/O410</f>
        <v>-0.0318471337579618</v>
      </c>
      <c r="Q411" s="10" t="n">
        <v>-0.41</v>
      </c>
      <c r="R411" s="9" t="n">
        <f aca="false">(Q411-Q410)/Q410</f>
        <v>0.242424242424242</v>
      </c>
      <c r="S411" s="10" t="n">
        <v>2.61</v>
      </c>
      <c r="T411" s="9" t="n">
        <f aca="false">(S411-S410)/S410</f>
        <v>-0.0224719101123596</v>
      </c>
      <c r="U411" s="13" t="n">
        <v>2.48</v>
      </c>
      <c r="V411" s="9" t="n">
        <f aca="false">(U411-U410)/U410</f>
        <v>-0.0236220472440945</v>
      </c>
      <c r="W411" s="0" t="n">
        <v>1.3908</v>
      </c>
      <c r="X411" s="23" t="n">
        <f aca="false">(W411-W410)/W410</f>
        <v>-0.00186593942873542</v>
      </c>
      <c r="Y411" s="0" t="n">
        <v>1.3689</v>
      </c>
      <c r="Z411" s="24" t="n">
        <f aca="false">(Y411-Y410)/Y410</f>
        <v>0.00410767989437398</v>
      </c>
    </row>
    <row r="412" customFormat="false" ht="13.8" hidden="false" customHeight="false" outlineLevel="0" collapsed="false">
      <c r="A412" s="8" t="n">
        <v>40490</v>
      </c>
      <c r="B412" s="0" t="n">
        <v>47.06</v>
      </c>
      <c r="C412" s="9" t="n">
        <f aca="false">(B412-B411)/B411</f>
        <v>-0.0332785538208709</v>
      </c>
      <c r="D412" s="0" t="n">
        <v>20.61</v>
      </c>
      <c r="E412" s="9" t="n">
        <f aca="false">(D412-D411)/D411</f>
        <v>0.128696604600219</v>
      </c>
      <c r="F412" s="0" t="n">
        <v>120.2</v>
      </c>
      <c r="G412" s="9" t="n">
        <f aca="false">(F412-F411)/F411</f>
        <v>-0.0205345501955671</v>
      </c>
      <c r="H412" s="0" t="n">
        <f aca="false">AVERAGE(F398:F411)</f>
        <v>113.798571428571</v>
      </c>
      <c r="I412" s="0" t="n">
        <f aca="false">AVERAGE(F405:F411)</f>
        <v>117.604285714286</v>
      </c>
      <c r="J412" s="0" t="n">
        <f aca="false">AVERAGE(F409:F411)</f>
        <v>119.853333333333</v>
      </c>
      <c r="K412" s="10" t="n">
        <v>84.93</v>
      </c>
      <c r="L412" s="9" t="n">
        <f aca="false">(K412-K411)/K411</f>
        <v>0.0353529196635378</v>
      </c>
      <c r="M412" s="10" t="n">
        <v>85.6</v>
      </c>
      <c r="N412" s="9" t="n">
        <f aca="false">(M412-M411)/M411</f>
        <v>0.0407294832826747</v>
      </c>
      <c r="O412" s="0" t="n">
        <v>1.59</v>
      </c>
      <c r="P412" s="9" t="n">
        <f aca="false">(O412-O411)/O411</f>
        <v>0.0460526315789473</v>
      </c>
      <c r="Q412" s="10" t="n">
        <v>-0.34</v>
      </c>
      <c r="R412" s="9" t="n">
        <f aca="false">(Q412-Q411)/Q411</f>
        <v>-0.170731707317073</v>
      </c>
      <c r="S412" s="10" t="n">
        <v>2.68</v>
      </c>
      <c r="T412" s="9" t="n">
        <f aca="false">(S412-S411)/S411</f>
        <v>0.0268199233716476</v>
      </c>
      <c r="U412" s="13" t="n">
        <v>2.55</v>
      </c>
      <c r="V412" s="9" t="n">
        <f aca="false">(U412-U411)/U411</f>
        <v>0.028225806451613</v>
      </c>
      <c r="W412" s="0" t="n">
        <v>1.4035</v>
      </c>
      <c r="X412" s="23" t="n">
        <f aca="false">(W412-W411)/W411</f>
        <v>0.0091314351452401</v>
      </c>
      <c r="Y412" s="0" t="n">
        <v>1.3496</v>
      </c>
      <c r="Z412" s="24" t="n">
        <f aca="false">(Y412-Y411)/Y411</f>
        <v>-0.014098911534809</v>
      </c>
    </row>
    <row r="413" customFormat="false" ht="13.8" hidden="false" customHeight="false" outlineLevel="0" collapsed="false">
      <c r="A413" s="8" t="n">
        <v>40497</v>
      </c>
      <c r="B413" s="0" t="n">
        <v>46</v>
      </c>
      <c r="C413" s="9" t="n">
        <f aca="false">(B413-B412)/B412</f>
        <v>-0.0225244368890778</v>
      </c>
      <c r="D413" s="0" t="n">
        <v>18.04</v>
      </c>
      <c r="E413" s="9" t="n">
        <f aca="false">(D413-D412)/D412</f>
        <v>-0.124696749150898</v>
      </c>
      <c r="F413" s="0" t="n">
        <v>120.29</v>
      </c>
      <c r="G413" s="9" t="n">
        <f aca="false">(F413-F412)/F412</f>
        <v>0.000748752079866917</v>
      </c>
      <c r="H413" s="0" t="n">
        <f aca="false">AVERAGE(F399:F412)</f>
        <v>114.356428571429</v>
      </c>
      <c r="I413" s="0" t="n">
        <f aca="false">AVERAGE(F406:F412)</f>
        <v>118.372857142857</v>
      </c>
      <c r="J413" s="0" t="n">
        <f aca="false">AVERAGE(F410:F412)</f>
        <v>120.47</v>
      </c>
      <c r="K413" s="10" t="n">
        <v>86.91</v>
      </c>
      <c r="L413" s="9" t="n">
        <f aca="false">(K413-K412)/K412</f>
        <v>0.0233133168491698</v>
      </c>
      <c r="M413" s="10" t="n">
        <v>87.43</v>
      </c>
      <c r="N413" s="9" t="n">
        <f aca="false">(M413-M412)/M412</f>
        <v>0.0213785046728973</v>
      </c>
      <c r="O413" s="0" t="n">
        <v>1.55</v>
      </c>
      <c r="P413" s="9" t="n">
        <f aca="false">(O413-O412)/O412</f>
        <v>-0.0251572327044024</v>
      </c>
      <c r="Q413" s="10" t="n">
        <v>-0.04</v>
      </c>
      <c r="R413" s="9" t="n">
        <f aca="false">(Q413-Q412)/Q412</f>
        <v>-0.882352941176471</v>
      </c>
      <c r="S413" s="10" t="n">
        <v>2.89</v>
      </c>
      <c r="T413" s="9" t="n">
        <f aca="false">(S413-S412)/S412</f>
        <v>0.0783582089552239</v>
      </c>
      <c r="U413" s="13" t="n">
        <v>2.75</v>
      </c>
      <c r="V413" s="9" t="n">
        <f aca="false">(U413-U412)/U412</f>
        <v>0.0784313725490195</v>
      </c>
      <c r="W413" s="0" t="n">
        <v>1.3699</v>
      </c>
      <c r="X413" s="23" t="n">
        <f aca="false">(W413-W412)/W412</f>
        <v>-0.0239401496259352</v>
      </c>
      <c r="Y413" s="0" t="n">
        <v>1.3433</v>
      </c>
      <c r="Z413" s="24" t="n">
        <f aca="false">(Y413-Y412)/Y412</f>
        <v>-0.0046680497925311</v>
      </c>
    </row>
    <row r="414" customFormat="false" ht="13.8" hidden="false" customHeight="false" outlineLevel="0" collapsed="false">
      <c r="A414" s="8" t="n">
        <v>40504</v>
      </c>
      <c r="B414" s="0" t="n">
        <v>44.61</v>
      </c>
      <c r="C414" s="9" t="n">
        <f aca="false">(B414-B413)/B413</f>
        <v>-0.0302173913043478</v>
      </c>
      <c r="D414" s="0" t="n">
        <v>22.22</v>
      </c>
      <c r="E414" s="9" t="n">
        <f aca="false">(D414-D413)/D413</f>
        <v>0.231707317073171</v>
      </c>
      <c r="F414" s="0" t="n">
        <v>118.8</v>
      </c>
      <c r="G414" s="9" t="n">
        <f aca="false">(F414-F413)/F413</f>
        <v>-0.0123867320641783</v>
      </c>
      <c r="H414" s="0" t="n">
        <f aca="false">AVERAGE(F400:F413)</f>
        <v>115.212142857143</v>
      </c>
      <c r="I414" s="0" t="n">
        <f aca="false">AVERAGE(F407:F413)</f>
        <v>119.184285714286</v>
      </c>
      <c r="J414" s="0" t="n">
        <f aca="false">AVERAGE(F411:F413)</f>
        <v>121.07</v>
      </c>
      <c r="K414" s="10" t="n">
        <v>82.23</v>
      </c>
      <c r="L414" s="9" t="n">
        <f aca="false">(K414-K413)/K413</f>
        <v>-0.0538488091128753</v>
      </c>
      <c r="M414" s="10" t="n">
        <v>83.94</v>
      </c>
      <c r="N414" s="9" t="n">
        <f aca="false">(M414-M413)/M413</f>
        <v>-0.0399176484044379</v>
      </c>
      <c r="O414" s="0" t="n">
        <v>1.58</v>
      </c>
      <c r="P414" s="9" t="n">
        <f aca="false">(O414-O413)/O413</f>
        <v>0.0193548387096774</v>
      </c>
      <c r="Q414" s="10" t="n">
        <v>-0.1</v>
      </c>
      <c r="R414" s="9" t="n">
        <f aca="false">(Q414-Q413)/Q413</f>
        <v>1.5</v>
      </c>
      <c r="S414" s="10" t="n">
        <v>2.84</v>
      </c>
      <c r="T414" s="9" t="n">
        <f aca="false">(S414-S413)/S413</f>
        <v>-0.0173010380622838</v>
      </c>
      <c r="U414" s="13" t="n">
        <v>2.68</v>
      </c>
      <c r="V414" s="9" t="n">
        <f aca="false">(U414-U413)/U413</f>
        <v>-0.0254545454545456</v>
      </c>
      <c r="W414" s="0" t="n">
        <v>1.3685</v>
      </c>
      <c r="X414" s="23" t="n">
        <f aca="false">(W414-W413)/W413</f>
        <v>-0.00102197240674491</v>
      </c>
      <c r="Y414" s="0" t="n">
        <v>1.359</v>
      </c>
      <c r="Z414" s="24" t="n">
        <f aca="false">(Y414-Y413)/Y413</f>
        <v>0.0116876349289065</v>
      </c>
    </row>
    <row r="415" customFormat="false" ht="13.8" hidden="false" customHeight="false" outlineLevel="0" collapsed="false">
      <c r="A415" s="8" t="n">
        <v>40511</v>
      </c>
      <c r="B415" s="0" t="n">
        <v>48.03</v>
      </c>
      <c r="C415" s="9" t="n">
        <f aca="false">(B415-B414)/B414</f>
        <v>0.0766644250168124</v>
      </c>
      <c r="D415" s="0" t="n">
        <v>18.01</v>
      </c>
      <c r="E415" s="9" t="n">
        <f aca="false">(D415-D414)/D414</f>
        <v>-0.189468946894689</v>
      </c>
      <c r="F415" s="0" t="n">
        <v>122.89</v>
      </c>
      <c r="G415" s="9" t="n">
        <f aca="false">(F415-F414)/F414</f>
        <v>0.0344276094276095</v>
      </c>
      <c r="H415" s="0" t="n">
        <f aca="false">AVERAGE(F401:F414)</f>
        <v>116.017142857143</v>
      </c>
      <c r="I415" s="0" t="n">
        <f aca="false">AVERAGE(F408:F414)</f>
        <v>119.507142857143</v>
      </c>
      <c r="J415" s="0" t="n">
        <f aca="false">AVERAGE(F412:F414)</f>
        <v>119.763333333333</v>
      </c>
      <c r="K415" s="10" t="n">
        <v>82.28</v>
      </c>
      <c r="L415" s="9" t="n">
        <f aca="false">(K415-K414)/K414</f>
        <v>0.000608050589809038</v>
      </c>
      <c r="M415" s="10" t="n">
        <v>83.51</v>
      </c>
      <c r="N415" s="9" t="n">
        <f aca="false">(M415-M414)/M414</f>
        <v>-0.00512270669525843</v>
      </c>
      <c r="O415" s="0" t="n">
        <v>1.6</v>
      </c>
      <c r="P415" s="9" t="n">
        <f aca="false">(O415-O414)/O414</f>
        <v>0.0126582278481013</v>
      </c>
      <c r="Q415" s="10" t="n">
        <v>-0.01</v>
      </c>
      <c r="R415" s="9" t="n">
        <f aca="false">(Q415-Q414)/Q414</f>
        <v>-0.9</v>
      </c>
      <c r="S415" s="10" t="n">
        <v>2.93</v>
      </c>
      <c r="T415" s="9" t="n">
        <f aca="false">(S415-S414)/S414</f>
        <v>0.0316901408450705</v>
      </c>
      <c r="U415" s="13" t="n">
        <v>2.77</v>
      </c>
      <c r="V415" s="9" t="n">
        <f aca="false">(U415-U414)/U414</f>
        <v>0.0335820895522389</v>
      </c>
      <c r="W415" s="0" t="n">
        <v>1.3236</v>
      </c>
      <c r="X415" s="23" t="n">
        <f aca="false">(W415-W414)/W414</f>
        <v>-0.0328096455973693</v>
      </c>
      <c r="Y415" s="0" t="n">
        <v>1.3258</v>
      </c>
      <c r="Z415" s="24" t="n">
        <f aca="false">(Y415-Y414)/Y414</f>
        <v>-0.0244297277409859</v>
      </c>
    </row>
    <row r="416" customFormat="false" ht="13.8" hidden="false" customHeight="false" outlineLevel="0" collapsed="false">
      <c r="A416" s="8" t="n">
        <v>40518</v>
      </c>
      <c r="B416" s="0" t="n">
        <v>50.92</v>
      </c>
      <c r="C416" s="9" t="n">
        <f aca="false">(B416-B415)/B415</f>
        <v>0.0601707266291901</v>
      </c>
      <c r="D416" s="0" t="n">
        <v>17.61</v>
      </c>
      <c r="E416" s="9" t="n">
        <f aca="false">(D416-D415)/D415</f>
        <v>-0.0222098833981123</v>
      </c>
      <c r="F416" s="0" t="n">
        <v>124.48</v>
      </c>
      <c r="G416" s="9" t="n">
        <f aca="false">(F416-F415)/F415</f>
        <v>0.0129384001952966</v>
      </c>
      <c r="H416" s="0" t="n">
        <f aca="false">AVERAGE(F402:F415)</f>
        <v>117.162142857143</v>
      </c>
      <c r="I416" s="0" t="n">
        <f aca="false">AVERAGE(F409:F415)</f>
        <v>120.248571428571</v>
      </c>
      <c r="J416" s="0" t="n">
        <f aca="false">AVERAGE(F413:F415)</f>
        <v>120.66</v>
      </c>
      <c r="K416" s="10" t="n">
        <v>86.75</v>
      </c>
      <c r="L416" s="9" t="n">
        <f aca="false">(K416-K415)/K415</f>
        <v>0.0543266893534273</v>
      </c>
      <c r="M416" s="10" t="n">
        <v>88.1</v>
      </c>
      <c r="N416" s="9" t="n">
        <f aca="false">(M416-M415)/M415</f>
        <v>0.0549634774278528</v>
      </c>
      <c r="O416" s="0" t="n">
        <v>1.65</v>
      </c>
      <c r="P416" s="9" t="n">
        <f aca="false">(O416-O415)/O415</f>
        <v>0.03125</v>
      </c>
      <c r="Q416" s="10" t="n">
        <v>0.15</v>
      </c>
      <c r="R416" s="9" t="n">
        <f aca="false">(Q416-Q415)/Q415</f>
        <v>-16</v>
      </c>
      <c r="S416" s="10" t="n">
        <v>3.18</v>
      </c>
      <c r="T416" s="9" t="n">
        <f aca="false">(S416-S415)/S415</f>
        <v>0.0853242320819113</v>
      </c>
      <c r="U416" s="13" t="n">
        <v>3.04</v>
      </c>
      <c r="V416" s="9" t="n">
        <f aca="false">(U416-U415)/U415</f>
        <v>0.0974729241877257</v>
      </c>
      <c r="W416" s="0" t="n">
        <v>1.3408</v>
      </c>
      <c r="X416" s="23" t="n">
        <f aca="false">(W416-W415)/W415</f>
        <v>0.0129948624962223</v>
      </c>
      <c r="Y416" s="0" t="n">
        <v>1.3061</v>
      </c>
      <c r="Z416" s="24" t="n">
        <f aca="false">(Y416-Y415)/Y415</f>
        <v>-0.0148589530849299</v>
      </c>
    </row>
    <row r="417" customFormat="false" ht="13.8" hidden="false" customHeight="false" outlineLevel="0" collapsed="false">
      <c r="A417" s="8" t="n">
        <v>40525</v>
      </c>
      <c r="B417" s="0" t="n">
        <v>50.08</v>
      </c>
      <c r="C417" s="9" t="n">
        <f aca="false">(B417-B416)/B416</f>
        <v>-0.0164964650432051</v>
      </c>
      <c r="D417" s="0" t="n">
        <v>16.11</v>
      </c>
      <c r="E417" s="9" t="n">
        <f aca="false">(D417-D416)/D416</f>
        <v>-0.0851788756388416</v>
      </c>
      <c r="F417" s="0" t="n">
        <v>124.3</v>
      </c>
      <c r="G417" s="9" t="n">
        <f aca="false">(F417-F416)/F416</f>
        <v>-0.00144601542416458</v>
      </c>
      <c r="H417" s="0" t="n">
        <f aca="false">AVERAGE(F403:F416)</f>
        <v>118.132857142857</v>
      </c>
      <c r="I417" s="0" t="n">
        <f aca="false">AVERAGE(F410:F416)</f>
        <v>121.124285714286</v>
      </c>
      <c r="J417" s="0" t="n">
        <f aca="false">AVERAGE(F414:F416)</f>
        <v>122.056666666667</v>
      </c>
      <c r="K417" s="10" t="n">
        <v>88.5</v>
      </c>
      <c r="L417" s="9" t="n">
        <f aca="false">(K417-K416)/K416</f>
        <v>0.0201729106628242</v>
      </c>
      <c r="M417" s="10" t="n">
        <v>90.25</v>
      </c>
      <c r="N417" s="9" t="n">
        <f aca="false">(M417-M416)/M416</f>
        <v>0.0244040862656073</v>
      </c>
      <c r="O417" s="0" t="n">
        <v>1.73</v>
      </c>
      <c r="P417" s="9" t="n">
        <f aca="false">(O417-O416)/O416</f>
        <v>0.0484848484848483</v>
      </c>
      <c r="Q417" s="10" t="n">
        <v>0.3</v>
      </c>
      <c r="R417" s="9" t="n">
        <f aca="false">(Q417-Q416)/Q416</f>
        <v>1</v>
      </c>
      <c r="S417" s="10" t="n">
        <v>3.42</v>
      </c>
      <c r="T417" s="9" t="n">
        <f aca="false">(S417-S416)/S416</f>
        <v>0.0754716981132075</v>
      </c>
      <c r="U417" s="13" t="n">
        <v>3.28</v>
      </c>
      <c r="V417" s="9" t="n">
        <f aca="false">(U417-U416)/U416</f>
        <v>0.0789473684210527</v>
      </c>
      <c r="W417" s="0" t="n">
        <v>1.3226</v>
      </c>
      <c r="X417" s="23" t="n">
        <f aca="false">(W417-W416)/W416</f>
        <v>-0.0135739856801909</v>
      </c>
      <c r="Y417" s="0" t="n">
        <v>1.2975</v>
      </c>
      <c r="Z417" s="24" t="n">
        <f aca="false">(Y417-Y416)/Y416</f>
        <v>-0.00658448817089039</v>
      </c>
    </row>
    <row r="418" customFormat="false" ht="13.8" hidden="false" customHeight="false" outlineLevel="0" collapsed="false">
      <c r="A418" s="8" t="n">
        <v>40532</v>
      </c>
      <c r="B418" s="0" t="n">
        <v>51.77</v>
      </c>
      <c r="C418" s="9" t="n">
        <f aca="false">(B418-B417)/B417</f>
        <v>0.0337460063897765</v>
      </c>
      <c r="D418" s="0" t="n">
        <v>16.47</v>
      </c>
      <c r="E418" s="9" t="n">
        <f aca="false">(D418-D417)/D417</f>
        <v>0.0223463687150838</v>
      </c>
      <c r="F418" s="0" t="n">
        <v>125.6</v>
      </c>
      <c r="G418" s="9" t="n">
        <f aca="false">(F418-F417)/F417</f>
        <v>0.0104585679806919</v>
      </c>
      <c r="H418" s="0" t="n">
        <f aca="false">AVERAGE(F404:F417)</f>
        <v>119.048571428571</v>
      </c>
      <c r="I418" s="0" t="n">
        <f aca="false">AVERAGE(F411:F417)</f>
        <v>121.954285714286</v>
      </c>
      <c r="J418" s="0" t="n">
        <f aca="false">AVERAGE(F415:F417)</f>
        <v>123.89</v>
      </c>
      <c r="K418" s="10" t="n">
        <v>88.27</v>
      </c>
      <c r="L418" s="9" t="n">
        <f aca="false">(K418-K417)/K417</f>
        <v>-0.00259887005649722</v>
      </c>
      <c r="M418" s="10" t="n">
        <v>90.91</v>
      </c>
      <c r="N418" s="9" t="n">
        <f aca="false">(M418-M417)/M417</f>
        <v>0.00731301939058168</v>
      </c>
      <c r="O418" s="0" t="n">
        <v>1.79</v>
      </c>
      <c r="P418" s="9" t="n">
        <f aca="false">(O418-O417)/O417</f>
        <v>0.0346820809248557</v>
      </c>
      <c r="Q418" s="10" t="n">
        <v>0.23</v>
      </c>
      <c r="R418" s="9" t="n">
        <f aca="false">(Q418-Q417)/Q417</f>
        <v>-0.233333333333333</v>
      </c>
      <c r="S418" s="10" t="n">
        <v>3.37</v>
      </c>
      <c r="T418" s="9" t="n">
        <f aca="false">(S418-S417)/S417</f>
        <v>-0.0146198830409356</v>
      </c>
      <c r="U418" s="13" t="n">
        <v>3.23</v>
      </c>
      <c r="V418" s="9" t="n">
        <f aca="false">(U418-U417)/U417</f>
        <v>-0.0152439024390245</v>
      </c>
      <c r="W418" s="0" t="n">
        <v>1.3181</v>
      </c>
      <c r="X418" s="23" t="n">
        <f aca="false">(W418-W417)/W417</f>
        <v>-0.00340238923332825</v>
      </c>
      <c r="Y418" s="0" t="n">
        <v>1.2789</v>
      </c>
      <c r="Z418" s="24" t="n">
        <f aca="false">(Y418-Y417)/Y417</f>
        <v>-0.0143352601156071</v>
      </c>
    </row>
    <row r="419" customFormat="false" ht="13.8" hidden="false" customHeight="false" outlineLevel="0" collapsed="false">
      <c r="A419" s="8" t="n">
        <v>40539</v>
      </c>
      <c r="B419" s="0" t="n">
        <v>52.21</v>
      </c>
      <c r="C419" s="9" t="n">
        <f aca="false">(B419-B418)/B418</f>
        <v>0.00849913077071659</v>
      </c>
      <c r="D419" s="0" t="n">
        <v>17.75</v>
      </c>
      <c r="E419" s="9" t="n">
        <f aca="false">(D419-D418)/D418</f>
        <v>0.0777170613236188</v>
      </c>
      <c r="F419" s="0" t="n">
        <v>125.75</v>
      </c>
      <c r="G419" s="9" t="n">
        <f aca="false">(F419-F418)/F418</f>
        <v>0.00119426751592361</v>
      </c>
      <c r="H419" s="0" t="n">
        <f aca="false">AVERAGE(F405:F418)</f>
        <v>119.985</v>
      </c>
      <c r="I419" s="0" t="n">
        <f aca="false">AVERAGE(F412:F418)</f>
        <v>122.365714285714</v>
      </c>
      <c r="J419" s="0" t="n">
        <f aca="false">AVERAGE(F416:F418)</f>
        <v>124.793333333333</v>
      </c>
      <c r="K419" s="10" t="n">
        <v>89.66</v>
      </c>
      <c r="L419" s="9" t="n">
        <f aca="false">(K419-K418)/K418</f>
        <v>0.0157471394584797</v>
      </c>
      <c r="M419" s="10" t="n">
        <v>92.9</v>
      </c>
      <c r="N419" s="9" t="n">
        <f aca="false">(M419-M418)/M418</f>
        <v>0.0218897811021891</v>
      </c>
      <c r="O419" s="0" t="n">
        <v>1.82</v>
      </c>
      <c r="P419" s="9" t="n">
        <f aca="false">(O419-O418)/O418</f>
        <v>0.0167597765363127</v>
      </c>
      <c r="Q419" s="10" t="n">
        <v>0.25</v>
      </c>
      <c r="R419" s="9" t="n">
        <f aca="false">(Q419-Q418)/Q418</f>
        <v>0.0869565217391304</v>
      </c>
      <c r="S419" s="10" t="n">
        <v>3.38</v>
      </c>
      <c r="T419" s="9" t="n">
        <f aca="false">(S419-S418)/S418</f>
        <v>0.00296735905044504</v>
      </c>
      <c r="U419" s="13" t="n">
        <v>3.24</v>
      </c>
      <c r="V419" s="9" t="n">
        <f aca="false">(U419-U418)/U418</f>
        <v>0.00309597523219808</v>
      </c>
      <c r="W419" s="0" t="n">
        <v>1.3115</v>
      </c>
      <c r="X419" s="23" t="n">
        <f aca="false">(W419-W418)/W418</f>
        <v>-0.00500720734390406</v>
      </c>
      <c r="Y419" s="0" t="n">
        <v>1.2619</v>
      </c>
      <c r="Z419" s="24" t="n">
        <f aca="false">(Y419-Y418)/Y418</f>
        <v>-0.0132926733911955</v>
      </c>
    </row>
    <row r="420" customFormat="false" ht="13.8" hidden="false" customHeight="false" outlineLevel="0" collapsed="false">
      <c r="A420" s="8" t="n">
        <v>40546</v>
      </c>
      <c r="B420" s="0" t="n">
        <v>52.88</v>
      </c>
      <c r="C420" s="9" t="n">
        <f aca="false">(B420-B419)/B419</f>
        <v>0.0128327906531316</v>
      </c>
      <c r="D420" s="0" t="n">
        <v>17.14</v>
      </c>
      <c r="E420" s="9" t="n">
        <f aca="false">(D420-D419)/D419</f>
        <v>-0.0343661971830986</v>
      </c>
      <c r="F420" s="0" t="n">
        <v>127.14</v>
      </c>
      <c r="G420" s="9" t="n">
        <f aca="false">(F420-F419)/F419</f>
        <v>0.0110536779324056</v>
      </c>
      <c r="H420" s="0" t="n">
        <f aca="false">AVERAGE(F406:F419)</f>
        <v>120.765714285714</v>
      </c>
      <c r="I420" s="0" t="n">
        <f aca="false">AVERAGE(F413:F419)</f>
        <v>123.158571428571</v>
      </c>
      <c r="J420" s="0" t="n">
        <f aca="false">AVERAGE(F417:F419)</f>
        <v>125.216666666667</v>
      </c>
      <c r="K420" s="10" t="n">
        <v>90.97</v>
      </c>
      <c r="L420" s="9" t="n">
        <f aca="false">(K420-K419)/K419</f>
        <v>0.0146107517287531</v>
      </c>
      <c r="M420" s="10" t="n">
        <v>93.17</v>
      </c>
      <c r="N420" s="9" t="n">
        <f aca="false">(M420-M419)/M419</f>
        <v>0.00290635091496228</v>
      </c>
      <c r="O420" s="0" t="n">
        <v>1.89</v>
      </c>
      <c r="P420" s="9" t="n">
        <f aca="false">(O420-O419)/O419</f>
        <v>0.0384615384615386</v>
      </c>
      <c r="Q420" s="10" t="n">
        <v>0.15</v>
      </c>
      <c r="R420" s="9" t="n">
        <f aca="false">(Q420-Q419)/Q419</f>
        <v>-0.4</v>
      </c>
      <c r="S420" s="10" t="n">
        <v>3.4</v>
      </c>
      <c r="T420" s="9" t="n">
        <f aca="false">(S420-S419)/S419</f>
        <v>0.00591715976331362</v>
      </c>
      <c r="U420" s="13" t="n">
        <v>3.26</v>
      </c>
      <c r="V420" s="9" t="n">
        <f aca="false">(U420-U419)/U419</f>
        <v>0.00617283950617285</v>
      </c>
      <c r="W420" s="0" t="n">
        <v>1.3366</v>
      </c>
      <c r="X420" s="23" t="n">
        <f aca="false">(W420-W419)/W419</f>
        <v>0.0191383911551658</v>
      </c>
      <c r="Y420" s="0" t="n">
        <v>1.2484</v>
      </c>
      <c r="Z420" s="24" t="n">
        <f aca="false">(Y420-Y419)/Y419</f>
        <v>-0.0106981535779381</v>
      </c>
    </row>
    <row r="421" customFormat="false" ht="13.8" hidden="false" customHeight="false" outlineLevel="0" collapsed="false">
      <c r="A421" s="8" t="n">
        <v>40553</v>
      </c>
      <c r="B421" s="0" t="n">
        <v>54.7</v>
      </c>
      <c r="C421" s="9" t="n">
        <f aca="false">(B421-B420)/B420</f>
        <v>0.0344175491679274</v>
      </c>
      <c r="D421" s="0" t="n">
        <v>15.46</v>
      </c>
      <c r="E421" s="9" t="n">
        <f aca="false">(D421-D420)/D420</f>
        <v>-0.0980163360560093</v>
      </c>
      <c r="F421" s="0" t="n">
        <v>129.3</v>
      </c>
      <c r="G421" s="9" t="n">
        <f aca="false">(F421-F420)/F420</f>
        <v>0.0169891458235017</v>
      </c>
      <c r="H421" s="0" t="n">
        <f aca="false">AVERAGE(F407:F420)</f>
        <v>121.660714285714</v>
      </c>
      <c r="I421" s="0" t="n">
        <f aca="false">AVERAGE(F414:F420)</f>
        <v>124.137142857143</v>
      </c>
      <c r="J421" s="0" t="n">
        <f aca="false">AVERAGE(F418:F420)</f>
        <v>126.163333333333</v>
      </c>
      <c r="K421" s="10" t="n">
        <v>89.54</v>
      </c>
      <c r="L421" s="9" t="n">
        <f aca="false">(K421-K420)/K420</f>
        <v>-0.0157194679564691</v>
      </c>
      <c r="M421" s="10" t="n">
        <v>94.72</v>
      </c>
      <c r="N421" s="9" t="n">
        <f aca="false">(M421-M420)/M420</f>
        <v>0.0166362563056778</v>
      </c>
      <c r="O421" s="0" t="n">
        <v>1.96</v>
      </c>
      <c r="P421" s="9" t="n">
        <f aca="false">(O421-O420)/O420</f>
        <v>0.037037037037037</v>
      </c>
      <c r="Q421" s="10" t="n">
        <v>0</v>
      </c>
      <c r="R421" s="9" t="n">
        <f aca="false">(Q421-Q420)/Q420</f>
        <v>-1</v>
      </c>
      <c r="S421" s="10" t="n">
        <v>3.36</v>
      </c>
      <c r="T421" s="9" t="n">
        <f aca="false">(S421-S420)/S420</f>
        <v>-0.011764705882353</v>
      </c>
      <c r="U421" s="13" t="n">
        <v>3.21</v>
      </c>
      <c r="V421" s="9" t="n">
        <f aca="false">(U421-U420)/U420</f>
        <v>-0.0153374233128834</v>
      </c>
      <c r="W421" s="0" t="n">
        <v>1.2924</v>
      </c>
      <c r="X421" s="23" t="n">
        <f aca="false">(W421-W420)/W420</f>
        <v>-0.0330689809965584</v>
      </c>
      <c r="Y421" s="0" t="n">
        <v>1.2499</v>
      </c>
      <c r="Z421" s="24" t="n">
        <f aca="false">(Y421-Y420)/Y420</f>
        <v>0.00120153796859985</v>
      </c>
    </row>
    <row r="422" customFormat="false" ht="13.8" hidden="false" customHeight="false" outlineLevel="0" collapsed="false">
      <c r="A422" s="8" t="n">
        <v>40561</v>
      </c>
      <c r="B422" s="0" t="n">
        <v>53.58</v>
      </c>
      <c r="C422" s="9" t="n">
        <f aca="false">(B422-B421)/B421</f>
        <v>-0.0204753199268739</v>
      </c>
      <c r="D422" s="0" t="n">
        <v>18.47</v>
      </c>
      <c r="E422" s="9" t="n">
        <f aca="false">(D422-D421)/D421</f>
        <v>0.194695989650711</v>
      </c>
      <c r="F422" s="0" t="n">
        <v>128.37</v>
      </c>
      <c r="G422" s="9" t="n">
        <f aca="false">(F422-F421)/F421</f>
        <v>-0.00719257540603253</v>
      </c>
      <c r="H422" s="0" t="n">
        <f aca="false">AVERAGE(F408:F421)</f>
        <v>122.572142857143</v>
      </c>
      <c r="I422" s="0" t="n">
        <f aca="false">AVERAGE(F415:F421)</f>
        <v>125.637142857143</v>
      </c>
      <c r="J422" s="0" t="n">
        <f aca="false">AVERAGE(F419:F421)</f>
        <v>127.396666666667</v>
      </c>
      <c r="K422" s="10" t="n">
        <v>91.02</v>
      </c>
      <c r="L422" s="9" t="n">
        <f aca="false">(K422-K421)/K421</f>
        <v>0.0165289256198346</v>
      </c>
      <c r="M422" s="10" t="n">
        <v>97.09</v>
      </c>
      <c r="N422" s="9" t="n">
        <f aca="false">(M422-M421)/M421</f>
        <v>0.0250211148648649</v>
      </c>
      <c r="O422" s="0" t="n">
        <v>1.93</v>
      </c>
      <c r="P422" s="9" t="n">
        <f aca="false">(O422-O421)/O421</f>
        <v>-0.0153061224489797</v>
      </c>
      <c r="Q422" s="10" t="n">
        <v>0.08</v>
      </c>
      <c r="R422" s="9" t="e">
        <f aca="false">(Q422-Q421)/Q421</f>
        <v>#DIV/0!</v>
      </c>
      <c r="S422" s="10" t="n">
        <v>3.42</v>
      </c>
      <c r="T422" s="9" t="n">
        <f aca="false">(S422-S421)/S421</f>
        <v>0.0178571428571429</v>
      </c>
      <c r="U422" s="13" t="n">
        <v>3.26</v>
      </c>
      <c r="V422" s="9" t="n">
        <f aca="false">(U422-U421)/U421</f>
        <v>0.0155763239875389</v>
      </c>
      <c r="W422" s="0" t="n">
        <v>1.3368</v>
      </c>
      <c r="X422" s="23" t="n">
        <f aca="false">(W422-W421)/W421</f>
        <v>0.0343546889507892</v>
      </c>
      <c r="Y422" s="0" t="n">
        <v>1.2896</v>
      </c>
      <c r="Z422" s="24" t="n">
        <f aca="false">(Y422-Y421)/Y421</f>
        <v>0.0317625410032803</v>
      </c>
    </row>
    <row r="423" customFormat="false" ht="13.8" hidden="false" customHeight="false" outlineLevel="0" collapsed="false">
      <c r="A423" s="8" t="n">
        <v>40567</v>
      </c>
      <c r="B423" s="0" t="n">
        <v>52.41</v>
      </c>
      <c r="C423" s="9" t="n">
        <f aca="false">(B423-B422)/B422</f>
        <v>-0.0218365061590146</v>
      </c>
      <c r="D423" s="0" t="n">
        <v>20.04</v>
      </c>
      <c r="E423" s="9" t="n">
        <f aca="false">(D423-D422)/D422</f>
        <v>0.0850027070925826</v>
      </c>
      <c r="F423" s="0" t="n">
        <v>127.72</v>
      </c>
      <c r="G423" s="9" t="n">
        <f aca="false">(F423-F422)/F422</f>
        <v>-0.00506348835397683</v>
      </c>
      <c r="H423" s="0" t="n">
        <f aca="false">AVERAGE(F409:F422)</f>
        <v>123.334285714286</v>
      </c>
      <c r="I423" s="0" t="n">
        <f aca="false">AVERAGE(F416:F422)</f>
        <v>126.42</v>
      </c>
      <c r="J423" s="0" t="n">
        <f aca="false">AVERAGE(F420:F422)</f>
        <v>128.27</v>
      </c>
      <c r="K423" s="10" t="n">
        <v>89.75</v>
      </c>
      <c r="L423" s="9" t="n">
        <f aca="false">(K423-K422)/K422</f>
        <v>-0.0139529773676115</v>
      </c>
      <c r="M423" s="10" t="n">
        <v>97.34</v>
      </c>
      <c r="N423" s="9" t="n">
        <f aca="false">(M423-M422)/M422</f>
        <v>0.00257493047687712</v>
      </c>
      <c r="O423" s="0" t="n">
        <v>1.93</v>
      </c>
      <c r="P423" s="9" t="n">
        <f aca="false">(O423-O422)/O422</f>
        <v>0</v>
      </c>
      <c r="Q423" s="10" t="n">
        <v>0.05</v>
      </c>
      <c r="R423" s="9" t="n">
        <f aca="false">(Q423-Q422)/Q422</f>
        <v>-0.375</v>
      </c>
      <c r="S423" s="10" t="n">
        <v>3.4</v>
      </c>
      <c r="T423" s="9" t="n">
        <f aca="false">(S423-S422)/S422</f>
        <v>-0.00584795321637427</v>
      </c>
      <c r="U423" s="13" t="n">
        <v>3.24</v>
      </c>
      <c r="V423" s="9" t="n">
        <f aca="false">(U423-U422)/U422</f>
        <v>-0.00613496932515338</v>
      </c>
      <c r="W423" s="0" t="n">
        <v>1.3615</v>
      </c>
      <c r="X423" s="23" t="n">
        <f aca="false">(W423-W422)/W422</f>
        <v>0.0184769599042489</v>
      </c>
      <c r="Y423" s="0" t="n">
        <v>1.3049</v>
      </c>
      <c r="Z423" s="24" t="n">
        <f aca="false">(Y423-Y422)/Y422</f>
        <v>0.0118641439205954</v>
      </c>
    </row>
    <row r="424" customFormat="false" ht="13.8" hidden="false" customHeight="false" outlineLevel="0" collapsed="false">
      <c r="A424" s="8" t="n">
        <v>40574</v>
      </c>
      <c r="B424" s="0" t="n">
        <v>54.14</v>
      </c>
      <c r="C424" s="9" t="n">
        <f aca="false">(B424-B423)/B423</f>
        <v>0.0330089677542454</v>
      </c>
      <c r="D424" s="0" t="n">
        <v>15.93</v>
      </c>
      <c r="E424" s="9" t="n">
        <f aca="false">(D424-D423)/D423</f>
        <v>-0.205089820359281</v>
      </c>
      <c r="F424" s="0" t="n">
        <v>131.15</v>
      </c>
      <c r="G424" s="9" t="n">
        <f aca="false">(F424-F423)/F423</f>
        <v>0.0268556216724084</v>
      </c>
      <c r="H424" s="0" t="n">
        <f aca="false">AVERAGE(F410:F423)</f>
        <v>124.003571428571</v>
      </c>
      <c r="I424" s="0" t="n">
        <f aca="false">AVERAGE(F417:F423)</f>
        <v>126.882857142857</v>
      </c>
      <c r="J424" s="0" t="n">
        <f aca="false">AVERAGE(F421:F423)</f>
        <v>128.463333333333</v>
      </c>
      <c r="K424" s="10" t="n">
        <v>86.11</v>
      </c>
      <c r="L424" s="9" t="n">
        <f aca="false">(K424-K423)/K423</f>
        <v>-0.0405571030640669</v>
      </c>
      <c r="M424" s="10" t="n">
        <v>96.62</v>
      </c>
      <c r="N424" s="9" t="n">
        <f aca="false">(M424-M423)/M423</f>
        <v>-0.00739675364701047</v>
      </c>
      <c r="O424" s="0" t="n">
        <v>1.99</v>
      </c>
      <c r="P424" s="9" t="n">
        <f aca="false">(O424-O423)/O423</f>
        <v>0.0310880829015543</v>
      </c>
      <c r="Q424" s="10" t="n">
        <v>0.11</v>
      </c>
      <c r="R424" s="9" t="n">
        <f aca="false">(Q424-Q423)/Q423</f>
        <v>1.2</v>
      </c>
      <c r="S424" s="10" t="n">
        <v>3.54</v>
      </c>
      <c r="T424" s="9" t="n">
        <f aca="false">(S424-S423)/S423</f>
        <v>0.0411764705882353</v>
      </c>
      <c r="U424" s="13" t="n">
        <v>3.39</v>
      </c>
      <c r="V424" s="9" t="n">
        <f aca="false">(U424-U423)/U423</f>
        <v>0.0462962962962964</v>
      </c>
      <c r="W424" s="0" t="n">
        <v>1.3606</v>
      </c>
      <c r="X424" s="23" t="n">
        <f aca="false">(W424-W423)/W423</f>
        <v>-0.000661035622475138</v>
      </c>
      <c r="Y424" s="0" t="n">
        <v>1.2822</v>
      </c>
      <c r="Z424" s="24" t="n">
        <f aca="false">(Y424-Y423)/Y423</f>
        <v>-0.0173959690397731</v>
      </c>
    </row>
    <row r="425" customFormat="false" ht="13.8" hidden="false" customHeight="false" outlineLevel="0" collapsed="false">
      <c r="A425" s="8" t="n">
        <v>40581</v>
      </c>
      <c r="B425" s="0" t="n">
        <v>55.56</v>
      </c>
      <c r="C425" s="9" t="n">
        <f aca="false">(B425-B424)/B424</f>
        <v>0.0262282970077577</v>
      </c>
      <c r="D425" s="0" t="n">
        <v>15.69</v>
      </c>
      <c r="E425" s="9" t="n">
        <f aca="false">(D425-D424)/D424</f>
        <v>-0.0150659133709981</v>
      </c>
      <c r="F425" s="0" t="n">
        <v>133.11</v>
      </c>
      <c r="G425" s="9" t="n">
        <f aca="false">(F425-F424)/F424</f>
        <v>0.0149447197865041</v>
      </c>
      <c r="H425" s="0" t="n">
        <f aca="false">AVERAGE(F411:F424)</f>
        <v>124.907857142857</v>
      </c>
      <c r="I425" s="0" t="n">
        <f aca="false">AVERAGE(F418:F424)</f>
        <v>127.861428571429</v>
      </c>
      <c r="J425" s="0" t="n">
        <f aca="false">AVERAGE(F422:F424)</f>
        <v>129.08</v>
      </c>
      <c r="K425" s="10" t="n">
        <v>89.52</v>
      </c>
      <c r="L425" s="9" t="n">
        <f aca="false">(K425-K424)/K424</f>
        <v>0.0396005109743351</v>
      </c>
      <c r="M425" s="10" t="n">
        <v>100.36</v>
      </c>
      <c r="N425" s="9" t="n">
        <f aca="false">(M425-M424)/M424</f>
        <v>0.0387083419581867</v>
      </c>
      <c r="O425" s="0" t="n">
        <v>1.94</v>
      </c>
      <c r="P425" s="9" t="n">
        <f aca="false">(O425-O424)/O424</f>
        <v>-0.0251256281407035</v>
      </c>
      <c r="Q425" s="10" t="n">
        <v>0.42</v>
      </c>
      <c r="R425" s="9" t="n">
        <f aca="false">(Q425-Q424)/Q424</f>
        <v>2.81818181818182</v>
      </c>
      <c r="S425" s="10" t="n">
        <v>3.68</v>
      </c>
      <c r="T425" s="9" t="n">
        <f aca="false">(S425-S424)/S424</f>
        <v>0.0395480225988701</v>
      </c>
      <c r="U425" s="13" t="n">
        <v>3.54</v>
      </c>
      <c r="V425" s="9" t="n">
        <f aca="false">(U425-U424)/U424</f>
        <v>0.0442477876106194</v>
      </c>
      <c r="W425" s="0" t="n">
        <v>1.3588</v>
      </c>
      <c r="X425" s="23" t="n">
        <f aca="false">(W425-W424)/W424</f>
        <v>-0.00132294575922389</v>
      </c>
      <c r="Y425" s="0" t="n">
        <v>1.2969</v>
      </c>
      <c r="Z425" s="24" t="n">
        <f aca="false">(Y425-Y424)/Y424</f>
        <v>0.0114646700982686</v>
      </c>
    </row>
    <row r="426" customFormat="false" ht="13.8" hidden="false" customHeight="false" outlineLevel="0" collapsed="false">
      <c r="A426" s="8" t="n">
        <v>40588</v>
      </c>
      <c r="B426" s="0" t="n">
        <v>55.2</v>
      </c>
      <c r="C426" s="9" t="n">
        <f aca="false">(B426-B425)/B425</f>
        <v>-0.00647948164146867</v>
      </c>
      <c r="D426" s="0" t="n">
        <v>16.43</v>
      </c>
      <c r="E426" s="9" t="n">
        <f aca="false">(D426-D425)/D425</f>
        <v>0.047163798597833</v>
      </c>
      <c r="F426" s="0" t="n">
        <v>134.53</v>
      </c>
      <c r="G426" s="9" t="n">
        <f aca="false">(F426-F425)/F425</f>
        <v>0.010667868680039</v>
      </c>
      <c r="H426" s="0" t="n">
        <f aca="false">AVERAGE(F412:F425)</f>
        <v>125.65</v>
      </c>
      <c r="I426" s="0" t="n">
        <f aca="false">AVERAGE(F419:F425)</f>
        <v>128.934285714286</v>
      </c>
      <c r="J426" s="0" t="n">
        <f aca="false">AVERAGE(F423:F425)</f>
        <v>130.66</v>
      </c>
      <c r="K426" s="10" t="n">
        <v>85.51</v>
      </c>
      <c r="L426" s="9" t="n">
        <f aca="false">(K426-K425)/K425</f>
        <v>-0.0447944593386952</v>
      </c>
      <c r="M426" s="10" t="n">
        <v>99.9</v>
      </c>
      <c r="N426" s="9" t="n">
        <f aca="false">(M426-M425)/M425</f>
        <v>-0.00458349940215219</v>
      </c>
      <c r="O426" s="0" t="n">
        <v>1.95</v>
      </c>
      <c r="P426" s="9" t="n">
        <f aca="false">(O426-O425)/O425</f>
        <v>0.00515463917525762</v>
      </c>
      <c r="Q426" s="10" t="n">
        <v>0.39</v>
      </c>
      <c r="R426" s="9" t="n">
        <f aca="false">(Q426-Q425)/Q425</f>
        <v>-0.0714285714285714</v>
      </c>
      <c r="S426" s="10" t="n">
        <v>3.6</v>
      </c>
      <c r="T426" s="9" t="n">
        <f aca="false">(S426-S425)/S425</f>
        <v>-0.0217391304347826</v>
      </c>
      <c r="U426" s="13" t="n">
        <v>3.49</v>
      </c>
      <c r="V426" s="9" t="n">
        <f aca="false">(U426-U425)/U425</f>
        <v>-0.0141242937853107</v>
      </c>
      <c r="W426" s="0" t="n">
        <v>1.355</v>
      </c>
      <c r="X426" s="23" t="n">
        <f aca="false">(W426-W425)/W425</f>
        <v>-0.00279658522225495</v>
      </c>
      <c r="Y426" s="0" t="n">
        <v>1.3181</v>
      </c>
      <c r="Z426" s="24" t="n">
        <f aca="false">(Y426-Y425)/Y425</f>
        <v>0.0163466728352225</v>
      </c>
    </row>
    <row r="427" customFormat="false" ht="13.8" hidden="false" customHeight="false" outlineLevel="0" collapsed="false">
      <c r="A427" s="8" t="n">
        <v>40596</v>
      </c>
      <c r="B427" s="0" t="n">
        <v>53.56</v>
      </c>
      <c r="C427" s="9" t="n">
        <f aca="false">(B427-B426)/B426</f>
        <v>-0.0297101449275362</v>
      </c>
      <c r="D427" s="0" t="n">
        <v>19.22</v>
      </c>
      <c r="E427" s="9" t="n">
        <f aca="false">(D427-D426)/D426</f>
        <v>0.169811320754717</v>
      </c>
      <c r="F427" s="0" t="n">
        <v>132.33</v>
      </c>
      <c r="G427" s="9" t="n">
        <f aca="false">(F427-F426)/F426</f>
        <v>-0.0163532297628781</v>
      </c>
      <c r="H427" s="0" t="n">
        <f aca="false">AVERAGE(F413:F426)</f>
        <v>126.673571428571</v>
      </c>
      <c r="I427" s="0" t="n">
        <f aca="false">AVERAGE(F420:F426)</f>
        <v>130.188571428571</v>
      </c>
      <c r="J427" s="0" t="n">
        <f aca="false">AVERAGE(F424:F426)</f>
        <v>132.93</v>
      </c>
      <c r="K427" s="10" t="n">
        <v>84.13</v>
      </c>
      <c r="L427" s="9" t="n">
        <f aca="false">(K427-K426)/K426</f>
        <v>-0.0161384633376214</v>
      </c>
      <c r="M427" s="10" t="n">
        <v>102.81</v>
      </c>
      <c r="N427" s="9" t="n">
        <f aca="false">(M427-M426)/M426</f>
        <v>0.0291291291291291</v>
      </c>
      <c r="O427" s="0" t="n">
        <v>2.16</v>
      </c>
      <c r="P427" s="9" t="n">
        <f aca="false">(O427-O426)/O426</f>
        <v>0.107692307692308</v>
      </c>
      <c r="Q427" s="10" t="n">
        <v>0.02</v>
      </c>
      <c r="R427" s="9" t="n">
        <f aca="false">(Q427-Q426)/Q426</f>
        <v>-0.948717948717949</v>
      </c>
      <c r="S427" s="10" t="n">
        <v>3.46</v>
      </c>
      <c r="T427" s="9" t="n">
        <f aca="false">(S427-S426)/S426</f>
        <v>-0.0388888888888889</v>
      </c>
      <c r="U427" s="13" t="n">
        <v>3.33</v>
      </c>
      <c r="V427" s="9" t="n">
        <f aca="false">(U427-U426)/U426</f>
        <v>-0.0458452722063038</v>
      </c>
      <c r="W427" s="0" t="n">
        <v>1.3686</v>
      </c>
      <c r="X427" s="23" t="n">
        <f aca="false">(W427-W426)/W426</f>
        <v>0.0100369003690037</v>
      </c>
      <c r="Y427" s="0" t="n">
        <v>1.2952</v>
      </c>
      <c r="Z427" s="24" t="n">
        <f aca="false">(Y427-Y426)/Y426</f>
        <v>-0.0173734921477886</v>
      </c>
    </row>
    <row r="428" customFormat="false" ht="13.8" hidden="false" customHeight="false" outlineLevel="0" collapsed="false">
      <c r="A428" s="8" t="n">
        <v>40602</v>
      </c>
      <c r="B428" s="0" t="n">
        <v>52.27</v>
      </c>
      <c r="C428" s="9" t="n">
        <f aca="false">(B428-B427)/B427</f>
        <v>-0.024085138162808</v>
      </c>
      <c r="D428" s="0" t="n">
        <v>19.06</v>
      </c>
      <c r="E428" s="9" t="n">
        <f aca="false">(D428-D427)/D427</f>
        <v>-0.00832466181061395</v>
      </c>
      <c r="F428" s="0" t="n">
        <v>132.47</v>
      </c>
      <c r="G428" s="9" t="n">
        <f aca="false">(F428-F427)/F427</f>
        <v>0.00105796115771168</v>
      </c>
      <c r="H428" s="0" t="n">
        <f aca="false">AVERAGE(F414:F427)</f>
        <v>127.533571428571</v>
      </c>
      <c r="I428" s="0" t="n">
        <f aca="false">AVERAGE(F421:F427)</f>
        <v>130.93</v>
      </c>
      <c r="J428" s="0" t="n">
        <f aca="false">AVERAGE(F425:F427)</f>
        <v>133.323333333333</v>
      </c>
      <c r="K428" s="10" t="n">
        <v>95.26</v>
      </c>
      <c r="L428" s="9" t="n">
        <f aca="false">(K428-K427)/K427</f>
        <v>0.132295257339831</v>
      </c>
      <c r="M428" s="10" t="n">
        <v>110.49</v>
      </c>
      <c r="N428" s="9" t="n">
        <f aca="false">(M428-M427)/M427</f>
        <v>0.0747009045812663</v>
      </c>
      <c r="O428" s="0" t="n">
        <v>2.21</v>
      </c>
      <c r="P428" s="9" t="n">
        <f aca="false">(O428-O427)/O427</f>
        <v>0.0231481481481481</v>
      </c>
      <c r="Q428" s="10" t="n">
        <v>-0.04</v>
      </c>
      <c r="R428" s="9" t="n">
        <f aca="false">(Q428-Q427)/Q427</f>
        <v>-3</v>
      </c>
      <c r="S428" s="10" t="n">
        <v>3.47</v>
      </c>
      <c r="T428" s="9" t="n">
        <f aca="false">(S428-S427)/S427</f>
        <v>0.00289017341040469</v>
      </c>
      <c r="U428" s="13" t="n">
        <v>3.34</v>
      </c>
      <c r="V428" s="9" t="n">
        <f aca="false">(U428-U427)/U427</f>
        <v>0.00300300300300307</v>
      </c>
      <c r="W428" s="0" t="n">
        <v>1.3744</v>
      </c>
      <c r="X428" s="23" t="n">
        <f aca="false">(W428-W427)/W427</f>
        <v>0.00423790735057725</v>
      </c>
      <c r="Y428" s="0" t="n">
        <v>1.2755</v>
      </c>
      <c r="Z428" s="24" t="n">
        <f aca="false">(Y428-Y427)/Y427</f>
        <v>-0.0152100061766521</v>
      </c>
    </row>
    <row r="429" customFormat="false" ht="13.8" hidden="false" customHeight="false" outlineLevel="0" collapsed="false">
      <c r="A429" s="8" t="n">
        <v>40609</v>
      </c>
      <c r="B429" s="0" t="n">
        <v>52.55</v>
      </c>
      <c r="C429" s="9" t="n">
        <f aca="false">(B429-B428)/B428</f>
        <v>0.00535680122441159</v>
      </c>
      <c r="D429" s="0" t="n">
        <v>20.08</v>
      </c>
      <c r="E429" s="9" t="n">
        <f aca="false">(D429-D428)/D428</f>
        <v>0.0535152151101784</v>
      </c>
      <c r="F429" s="0" t="n">
        <v>130.84</v>
      </c>
      <c r="G429" s="9" t="n">
        <f aca="false">(F429-F428)/F428</f>
        <v>-0.0123046727560957</v>
      </c>
      <c r="H429" s="0" t="n">
        <f aca="false">AVERAGE(F415:F428)</f>
        <v>128.51</v>
      </c>
      <c r="I429" s="0" t="n">
        <f aca="false">AVERAGE(F422:F428)</f>
        <v>131.382857142857</v>
      </c>
      <c r="J429" s="0" t="n">
        <f aca="false">AVERAGE(F426:F428)</f>
        <v>133.11</v>
      </c>
      <c r="K429" s="10" t="n">
        <v>101.05</v>
      </c>
      <c r="L429" s="9" t="n">
        <f aca="false">(K429-K428)/K428</f>
        <v>0.0607810203653159</v>
      </c>
      <c r="M429" s="10" t="n">
        <v>114.53</v>
      </c>
      <c r="N429" s="9" t="n">
        <f aca="false">(M429-M428)/M428</f>
        <v>0.0365643949678704</v>
      </c>
      <c r="O429" s="0" t="n">
        <v>2.25</v>
      </c>
      <c r="P429" s="9" t="n">
        <f aca="false">(O429-O428)/O428</f>
        <v>0.0180995475113122</v>
      </c>
      <c r="Q429" s="10" t="n">
        <v>-0.11</v>
      </c>
      <c r="R429" s="9" t="n">
        <f aca="false">(Q429-Q428)/Q428</f>
        <v>1.75</v>
      </c>
      <c r="S429" s="10" t="n">
        <v>3.46</v>
      </c>
      <c r="T429" s="9" t="n">
        <f aca="false">(S429-S428)/S428</f>
        <v>-0.00288184438040352</v>
      </c>
      <c r="U429" s="13" t="n">
        <v>3.36</v>
      </c>
      <c r="V429" s="9" t="n">
        <f aca="false">(U429-U428)/U428</f>
        <v>0.00598802395209568</v>
      </c>
      <c r="W429" s="0" t="n">
        <v>1.3983</v>
      </c>
      <c r="X429" s="23" t="n">
        <f aca="false">(W429-W428)/W428</f>
        <v>0.0173894062863795</v>
      </c>
      <c r="Y429" s="0" t="n">
        <v>1.295</v>
      </c>
      <c r="Z429" s="24" t="n">
        <f aca="false">(Y429-Y428)/Y428</f>
        <v>0.0152881223049783</v>
      </c>
    </row>
    <row r="430" customFormat="false" ht="13.8" hidden="false" customHeight="false" outlineLevel="0" collapsed="false">
      <c r="A430" s="8" t="n">
        <v>40616</v>
      </c>
      <c r="B430" s="0" t="n">
        <v>52.09</v>
      </c>
      <c r="C430" s="9" t="n">
        <f aca="false">(B430-B429)/B429</f>
        <v>-0.00875356803044708</v>
      </c>
      <c r="D430" s="0" t="n">
        <v>24.44</v>
      </c>
      <c r="E430" s="9" t="n">
        <f aca="false">(D430-D429)/D429</f>
        <v>0.217131474103586</v>
      </c>
      <c r="F430" s="0" t="n">
        <v>127.76</v>
      </c>
      <c r="G430" s="9" t="n">
        <f aca="false">(F430-F429)/F429</f>
        <v>-0.023540201773158</v>
      </c>
      <c r="H430" s="0" t="n">
        <f aca="false">AVERAGE(F416:F429)</f>
        <v>129.077857142857</v>
      </c>
      <c r="I430" s="0" t="n">
        <f aca="false">AVERAGE(F423:F429)</f>
        <v>131.735714285714</v>
      </c>
      <c r="J430" s="0" t="n">
        <f aca="false">AVERAGE(F427:F429)</f>
        <v>131.88</v>
      </c>
      <c r="K430" s="10" t="n">
        <v>103.74</v>
      </c>
      <c r="L430" s="9" t="n">
        <f aca="false">(K430-K429)/K429</f>
        <v>0.0266204849084611</v>
      </c>
      <c r="M430" s="10" t="n">
        <v>114.45</v>
      </c>
      <c r="N430" s="9" t="n">
        <f aca="false">(M430-M429)/M429</f>
        <v>-0.000698506941412715</v>
      </c>
      <c r="O430" s="0" t="n">
        <v>2.15</v>
      </c>
      <c r="P430" s="9" t="n">
        <f aca="false">(O430-O429)/O429</f>
        <v>-0.0444444444444445</v>
      </c>
      <c r="Q430" s="10" t="n">
        <v>-0.2</v>
      </c>
      <c r="R430" s="9" t="n">
        <f aca="false">(Q430-Q429)/Q429</f>
        <v>0.818181818181818</v>
      </c>
      <c r="S430" s="10" t="n">
        <v>3.29</v>
      </c>
      <c r="T430" s="9" t="n">
        <f aca="false">(S430-S429)/S429</f>
        <v>-0.0491329479768786</v>
      </c>
      <c r="U430" s="13" t="n">
        <v>3.2</v>
      </c>
      <c r="V430" s="9" t="n">
        <f aca="false">(U430-U429)/U429</f>
        <v>-0.0476190476190475</v>
      </c>
      <c r="W430" s="0" t="n">
        <v>1.3903</v>
      </c>
      <c r="X430" s="23" t="n">
        <f aca="false">(W430-W429)/W429</f>
        <v>-0.00572123292569549</v>
      </c>
      <c r="Y430" s="0" t="n">
        <v>1.2915</v>
      </c>
      <c r="Z430" s="24" t="n">
        <f aca="false">(Y430-Y429)/Y429</f>
        <v>-0.00270270270270258</v>
      </c>
    </row>
    <row r="431" customFormat="false" ht="13.8" hidden="false" customHeight="false" outlineLevel="0" collapsed="false">
      <c r="A431" s="8" t="n">
        <v>40623</v>
      </c>
      <c r="B431" s="0" t="n">
        <v>51.82</v>
      </c>
      <c r="C431" s="9" t="n">
        <f aca="false">(B431-B430)/B430</f>
        <v>-0.00518333653292385</v>
      </c>
      <c r="D431" s="0" t="n">
        <v>17.91</v>
      </c>
      <c r="E431" s="9" t="n">
        <f aca="false">(D431-D430)/D430</f>
        <v>-0.267184942716858</v>
      </c>
      <c r="F431" s="0" t="n">
        <v>131.3</v>
      </c>
      <c r="G431" s="9" t="n">
        <f aca="false">(F431-F430)/F430</f>
        <v>0.0277082028804008</v>
      </c>
      <c r="H431" s="0" t="n">
        <f aca="false">AVERAGE(F417:F430)</f>
        <v>129.312142857143</v>
      </c>
      <c r="I431" s="0" t="n">
        <f aca="false">AVERAGE(F424:F430)</f>
        <v>131.741428571429</v>
      </c>
      <c r="J431" s="0" t="n">
        <f aca="false">AVERAGE(F428:F430)</f>
        <v>130.356666666667</v>
      </c>
      <c r="K431" s="10" t="n">
        <v>99.79</v>
      </c>
      <c r="L431" s="9" t="n">
        <f aca="false">(K431-K430)/K430</f>
        <v>-0.0380759591285906</v>
      </c>
      <c r="M431" s="10" t="n">
        <v>112.67</v>
      </c>
      <c r="N431" s="9" t="n">
        <f aca="false">(M431-M430)/M430</f>
        <v>-0.0155526430755789</v>
      </c>
      <c r="O431" s="0" t="n">
        <v>2.19</v>
      </c>
      <c r="P431" s="9" t="n">
        <f aca="false">(O431-O430)/O430</f>
        <v>0.0186046511627907</v>
      </c>
      <c r="Q431" s="10" t="n">
        <v>-0.09</v>
      </c>
      <c r="R431" s="9" t="n">
        <f aca="false">(Q431-Q430)/Q430</f>
        <v>-0.55</v>
      </c>
      <c r="S431" s="10" t="n">
        <v>3.38</v>
      </c>
      <c r="T431" s="9" t="n">
        <f aca="false">(S431-S430)/S430</f>
        <v>0.0273556231003039</v>
      </c>
      <c r="U431" s="13" t="n">
        <v>3.29</v>
      </c>
      <c r="V431" s="9" t="n">
        <f aca="false">(U431-U430)/U430</f>
        <v>0.028125</v>
      </c>
      <c r="W431" s="0" t="n">
        <v>1.4165</v>
      </c>
      <c r="X431" s="23" t="n">
        <f aca="false">(W431-W430)/W430</f>
        <v>0.0188448536287132</v>
      </c>
      <c r="Y431" s="0" t="n">
        <v>1.2782</v>
      </c>
      <c r="Z431" s="24" t="n">
        <f aca="false">(Y431-Y430)/Y430</f>
        <v>-0.0102981029810299</v>
      </c>
    </row>
    <row r="432" customFormat="false" ht="13.8" hidden="false" customHeight="false" outlineLevel="0" collapsed="false">
      <c r="A432" s="8" t="n">
        <v>40630</v>
      </c>
      <c r="B432" s="0" t="n">
        <v>52.43</v>
      </c>
      <c r="C432" s="9" t="n">
        <f aca="false">(B432-B431)/B431</f>
        <v>0.0117715167888846</v>
      </c>
      <c r="D432" s="0" t="n">
        <v>17.4</v>
      </c>
      <c r="E432" s="9" t="n">
        <f aca="false">(D432-D431)/D431</f>
        <v>-0.0284757118927974</v>
      </c>
      <c r="F432" s="0" t="n">
        <v>133.15</v>
      </c>
      <c r="G432" s="9" t="n">
        <f aca="false">(F432-F431)/F431</f>
        <v>0.014089870525514</v>
      </c>
      <c r="H432" s="0" t="n">
        <f aca="false">AVERAGE(F418:F431)</f>
        <v>129.812142857143</v>
      </c>
      <c r="I432" s="0" t="n">
        <f aca="false">AVERAGE(F425:F431)</f>
        <v>131.762857142857</v>
      </c>
      <c r="J432" s="0" t="n">
        <f aca="false">AVERAGE(F429:F431)</f>
        <v>129.966666666667</v>
      </c>
      <c r="K432" s="10" t="n">
        <v>104.41</v>
      </c>
      <c r="L432" s="9" t="n">
        <f aca="false">(K432-K431)/K431</f>
        <v>0.0462972241707585</v>
      </c>
      <c r="M432" s="10" t="n">
        <v>115.41</v>
      </c>
      <c r="N432" s="9" t="n">
        <f aca="false">(M432-M431)/M431</f>
        <v>0.0243188071358835</v>
      </c>
      <c r="O432" s="0" t="n">
        <v>2.2</v>
      </c>
      <c r="P432" s="9" t="n">
        <f aca="false">(O432-O431)/O431</f>
        <v>0.00456621004566221</v>
      </c>
      <c r="Q432" s="10" t="n">
        <v>0.03</v>
      </c>
      <c r="R432" s="9" t="n">
        <f aca="false">(Q432-Q431)/Q431</f>
        <v>-1.33333333333333</v>
      </c>
      <c r="S432" s="10" t="n">
        <v>3.47</v>
      </c>
      <c r="T432" s="9" t="n">
        <f aca="false">(S432-S431)/S431</f>
        <v>0.0266272189349113</v>
      </c>
      <c r="U432" s="13" t="n">
        <v>3.38</v>
      </c>
      <c r="V432" s="9" t="n">
        <f aca="false">(U432-U431)/U431</f>
        <v>0.027355623100304</v>
      </c>
      <c r="W432" s="0" t="n">
        <v>1.4068</v>
      </c>
      <c r="X432" s="23" t="n">
        <f aca="false">(W432-W431)/W431</f>
        <v>-0.00684786445464175</v>
      </c>
      <c r="Y432" s="0" t="n">
        <v>1.2953</v>
      </c>
      <c r="Z432" s="24" t="n">
        <f aca="false">(Y432-Y431)/Y431</f>
        <v>0.0133781880769832</v>
      </c>
    </row>
    <row r="433" customFormat="false" ht="13.8" hidden="false" customHeight="false" outlineLevel="0" collapsed="false">
      <c r="A433" s="8" t="n">
        <v>40637</v>
      </c>
      <c r="B433" s="0" t="n">
        <v>52.42</v>
      </c>
      <c r="C433" s="9" t="n">
        <f aca="false">(B433-B432)/B432</f>
        <v>-0.000190730497806561</v>
      </c>
      <c r="D433" s="0" t="n">
        <v>17.87</v>
      </c>
      <c r="E433" s="9" t="n">
        <f aca="false">(D433-D432)/D432</f>
        <v>0.0270114942528737</v>
      </c>
      <c r="F433" s="0" t="n">
        <v>132.86</v>
      </c>
      <c r="G433" s="9" t="n">
        <f aca="false">(F433-F432)/F432</f>
        <v>-0.00217799474277125</v>
      </c>
      <c r="H433" s="0" t="n">
        <f aca="false">AVERAGE(F419:F432)</f>
        <v>130.351428571429</v>
      </c>
      <c r="I433" s="0" t="n">
        <f aca="false">AVERAGE(F426:F432)</f>
        <v>131.768571428571</v>
      </c>
      <c r="J433" s="0" t="n">
        <f aca="false">AVERAGE(F430:F432)</f>
        <v>130.736666666667</v>
      </c>
      <c r="K433" s="10" t="n">
        <v>105.08</v>
      </c>
      <c r="L433" s="9" t="n">
        <f aca="false">(K433-K432)/K432</f>
        <v>0.00641700986495548</v>
      </c>
      <c r="M433" s="10" t="n">
        <v>116.49</v>
      </c>
      <c r="N433" s="9" t="n">
        <f aca="false">(M433-M432)/M432</f>
        <v>0.00935794125292434</v>
      </c>
      <c r="O433" s="0" t="n">
        <v>2.33</v>
      </c>
      <c r="P433" s="9" t="n">
        <f aca="false">(O433-O432)/O432</f>
        <v>0.0590909090909088</v>
      </c>
      <c r="Q433" s="10" t="n">
        <v>-0.05</v>
      </c>
      <c r="R433" s="9" t="n">
        <f aca="false">(Q433-Q432)/Q432</f>
        <v>-2.66666666666667</v>
      </c>
      <c r="S433" s="10" t="n">
        <v>3.54</v>
      </c>
      <c r="T433" s="9" t="n">
        <f aca="false">(S433-S432)/S432</f>
        <v>0.0201729106628242</v>
      </c>
      <c r="U433" s="13" t="n">
        <v>3.49</v>
      </c>
      <c r="V433" s="9" t="n">
        <f aca="false">(U433-U432)/U432</f>
        <v>0.0325443786982248</v>
      </c>
      <c r="W433" s="0" t="n">
        <v>1.4224</v>
      </c>
      <c r="X433" s="23" t="n">
        <f aca="false">(W433-W432)/W432</f>
        <v>0.0110889963036679</v>
      </c>
      <c r="Y433" s="0" t="n">
        <v>1.3148</v>
      </c>
      <c r="Z433" s="24" t="n">
        <f aca="false">(Y433-Y432)/Y432</f>
        <v>0.0150544275457424</v>
      </c>
    </row>
    <row r="434" customFormat="false" ht="13.8" hidden="false" customHeight="false" outlineLevel="0" collapsed="false">
      <c r="A434" s="8" t="n">
        <v>40644</v>
      </c>
      <c r="B434" s="0" t="n">
        <v>51.13</v>
      </c>
      <c r="C434" s="9" t="n">
        <f aca="false">(B434-B433)/B433</f>
        <v>-0.0246089278901183</v>
      </c>
      <c r="D434" s="0" t="n">
        <v>15.32</v>
      </c>
      <c r="E434" s="9" t="n">
        <f aca="false">(D434-D433)/D433</f>
        <v>-0.142697257974259</v>
      </c>
      <c r="F434" s="0" t="n">
        <v>132.04</v>
      </c>
      <c r="G434" s="9" t="n">
        <f aca="false">(F434-F433)/F433</f>
        <v>-0.00617191028149948</v>
      </c>
      <c r="H434" s="0" t="n">
        <f aca="false">AVERAGE(F420:F433)</f>
        <v>130.859285714286</v>
      </c>
      <c r="I434" s="0" t="n">
        <f aca="false">AVERAGE(F427:F433)</f>
        <v>131.53</v>
      </c>
      <c r="J434" s="0" t="n">
        <f aca="false">AVERAGE(F431:F433)</f>
        <v>132.436666666667</v>
      </c>
      <c r="K434" s="10" t="n">
        <v>109.29</v>
      </c>
      <c r="L434" s="9" t="n">
        <f aca="false">(K434-K433)/K433</f>
        <v>0.0400647125999239</v>
      </c>
      <c r="M434" s="10" t="n">
        <v>123.03</v>
      </c>
      <c r="N434" s="9" t="n">
        <f aca="false">(M434-M433)/M433</f>
        <v>0.056142158125161</v>
      </c>
      <c r="O434" s="0" t="n">
        <v>2.3</v>
      </c>
      <c r="P434" s="9" t="n">
        <f aca="false">(O434-O433)/O433</f>
        <v>-0.0128755364806864</v>
      </c>
      <c r="Q434" s="10" t="n">
        <v>-0.08</v>
      </c>
      <c r="R434" s="9" t="n">
        <f aca="false">(Q434-Q433)/Q433</f>
        <v>0.6</v>
      </c>
      <c r="S434" s="10" t="n">
        <v>3.51</v>
      </c>
      <c r="T434" s="9" t="n">
        <f aca="false">(S434-S433)/S433</f>
        <v>-0.00847457627118651</v>
      </c>
      <c r="U434" s="13" t="n">
        <v>3.45</v>
      </c>
      <c r="V434" s="9" t="n">
        <f aca="false">(U434-U433)/U433</f>
        <v>-0.0114613180515761</v>
      </c>
      <c r="W434" s="0" t="n">
        <v>1.4439</v>
      </c>
      <c r="X434" s="23" t="n">
        <f aca="false">(W434-W433)/W433</f>
        <v>0.0151152980877389</v>
      </c>
      <c r="Y434" s="0" t="n">
        <v>1.3137</v>
      </c>
      <c r="Z434" s="24" t="n">
        <f aca="false">(Y434-Y433)/Y433</f>
        <v>-0.000836629145117036</v>
      </c>
    </row>
    <row r="435" customFormat="false" ht="13.8" hidden="false" customHeight="false" outlineLevel="0" collapsed="false">
      <c r="A435" s="8" t="n">
        <v>40651</v>
      </c>
      <c r="B435" s="0" t="n">
        <v>50.47</v>
      </c>
      <c r="C435" s="9" t="n">
        <f aca="false">(B435-B434)/B434</f>
        <v>-0.0129082730295326</v>
      </c>
      <c r="D435" s="0" t="n">
        <v>14.69</v>
      </c>
      <c r="E435" s="9" t="n">
        <f aca="false">(D435-D434)/D434</f>
        <v>-0.0411227154046998</v>
      </c>
      <c r="F435" s="0" t="n">
        <v>133.78</v>
      </c>
      <c r="G435" s="9" t="n">
        <f aca="false">(F435-F434)/F434</f>
        <v>0.0131778249015451</v>
      </c>
      <c r="H435" s="0" t="n">
        <f aca="false">AVERAGE(F421:F434)</f>
        <v>131.209285714286</v>
      </c>
      <c r="I435" s="0" t="n">
        <f aca="false">AVERAGE(F428:F434)</f>
        <v>131.488571428571</v>
      </c>
      <c r="J435" s="0" t="n">
        <f aca="false">AVERAGE(F432:F434)</f>
        <v>132.683333333333</v>
      </c>
      <c r="K435" s="10" t="n">
        <v>107.75</v>
      </c>
      <c r="L435" s="9" t="n">
        <f aca="false">(K435-K434)/K434</f>
        <v>-0.0140909506816727</v>
      </c>
      <c r="M435" s="10" t="n">
        <v>123.57</v>
      </c>
      <c r="N435" s="9" t="n">
        <f aca="false">(M435-M434)/M434</f>
        <v>0.00438917337234814</v>
      </c>
      <c r="O435" s="0" t="n">
        <v>2.25</v>
      </c>
      <c r="P435" s="9" t="n">
        <f aca="false">(O435-O434)/O434</f>
        <v>-0.0217391304347827</v>
      </c>
      <c r="Q435" s="10" t="n">
        <v>-0.13</v>
      </c>
      <c r="R435" s="9" t="n">
        <f aca="false">(Q435-Q434)/Q434</f>
        <v>0.625</v>
      </c>
      <c r="S435" s="10" t="n">
        <v>3.41</v>
      </c>
      <c r="T435" s="9" t="n">
        <f aca="false">(S435-S434)/S434</f>
        <v>-0.0284900284900284</v>
      </c>
      <c r="U435" s="13" t="n">
        <v>3.35</v>
      </c>
      <c r="V435" s="9" t="n">
        <f aca="false">(U435-U434)/U434</f>
        <v>-0.0289855072463767</v>
      </c>
      <c r="W435" s="0" t="n">
        <v>1.4421</v>
      </c>
      <c r="X435" s="23" t="n">
        <f aca="false">(W435-W434)/W434</f>
        <v>-0.00124662372740496</v>
      </c>
      <c r="Y435" s="0" t="n">
        <v>1.2876</v>
      </c>
      <c r="Z435" s="24" t="n">
        <f aca="false">(Y435-Y434)/Y434</f>
        <v>-0.0198675496688742</v>
      </c>
    </row>
    <row r="436" customFormat="false" ht="13.8" hidden="false" customHeight="false" outlineLevel="0" collapsed="false">
      <c r="A436" s="8" t="n">
        <v>40658</v>
      </c>
      <c r="B436" s="0" t="n">
        <v>51.53</v>
      </c>
      <c r="C436" s="9" t="n">
        <f aca="false">(B436-B435)/B435</f>
        <v>0.0210025757875966</v>
      </c>
      <c r="D436" s="0" t="n">
        <v>14.75</v>
      </c>
      <c r="E436" s="9" t="n">
        <f aca="false">(D436-D435)/D435</f>
        <v>0.00408441116405722</v>
      </c>
      <c r="F436" s="0" t="n">
        <v>136.43</v>
      </c>
      <c r="G436" s="9" t="n">
        <f aca="false">(F436-F435)/F435</f>
        <v>0.0198086410524743</v>
      </c>
      <c r="H436" s="0" t="n">
        <f aca="false">AVERAGE(F422:F435)</f>
        <v>131.529285714286</v>
      </c>
      <c r="I436" s="0" t="n">
        <f aca="false">AVERAGE(F429:F435)</f>
        <v>131.675714285714</v>
      </c>
      <c r="J436" s="0" t="n">
        <f aca="false">AVERAGE(F433:F435)</f>
        <v>132.893333333333</v>
      </c>
      <c r="K436" s="10" t="n">
        <v>109.11</v>
      </c>
      <c r="L436" s="9" t="n">
        <f aca="false">(K436-K435)/K435</f>
        <v>0.0126218097447796</v>
      </c>
      <c r="M436" s="10" t="n">
        <v>122.74</v>
      </c>
      <c r="N436" s="9" t="n">
        <f aca="false">(M436-M435)/M435</f>
        <v>-0.00671684065711741</v>
      </c>
      <c r="O436" s="0" t="n">
        <v>2.37</v>
      </c>
      <c r="P436" s="9" t="n">
        <f aca="false">(O436-O435)/O435</f>
        <v>0.0533333333333334</v>
      </c>
      <c r="Q436" s="10" t="n">
        <v>-0.33</v>
      </c>
      <c r="R436" s="9" t="n">
        <f aca="false">(Q436-Q435)/Q435</f>
        <v>1.53846153846154</v>
      </c>
      <c r="S436" s="10" t="n">
        <v>3.36</v>
      </c>
      <c r="T436" s="9" t="n">
        <f aca="false">(S436-S435)/S435</f>
        <v>-0.0146627565982405</v>
      </c>
      <c r="U436" s="13" t="n">
        <v>3.3</v>
      </c>
      <c r="V436" s="9" t="n">
        <f aca="false">(U436-U435)/U435</f>
        <v>-0.0149253731343284</v>
      </c>
      <c r="W436" s="0" t="n">
        <v>1.4547</v>
      </c>
      <c r="X436" s="23" t="n">
        <f aca="false">(W436-W435)/W435</f>
        <v>0.0087372581651759</v>
      </c>
      <c r="Y436" s="0" t="n">
        <v>1.2885</v>
      </c>
      <c r="Z436" s="24" t="n">
        <f aca="false">(Y436-Y435)/Y435</f>
        <v>0.000698974836905794</v>
      </c>
    </row>
    <row r="437" customFormat="false" ht="13.8" hidden="false" customHeight="false" outlineLevel="0" collapsed="false">
      <c r="A437" s="8" t="n">
        <v>40665</v>
      </c>
      <c r="B437" s="0" t="n">
        <v>50.73</v>
      </c>
      <c r="C437" s="9" t="n">
        <f aca="false">(B437-B436)/B436</f>
        <v>-0.0155249369299438</v>
      </c>
      <c r="D437" s="0" t="n">
        <v>18.4</v>
      </c>
      <c r="E437" s="9" t="n">
        <f aca="false">(D437-D436)/D436</f>
        <v>0.247457627118644</v>
      </c>
      <c r="F437" s="0" t="n">
        <v>134.2</v>
      </c>
      <c r="G437" s="9" t="n">
        <f aca="false">(F437-F436)/F436</f>
        <v>-0.0163453785824234</v>
      </c>
      <c r="H437" s="0" t="n">
        <f aca="false">AVERAGE(F423:F436)</f>
        <v>132.105</v>
      </c>
      <c r="I437" s="0" t="n">
        <f aca="false">AVERAGE(F430:F436)</f>
        <v>132.474285714286</v>
      </c>
      <c r="J437" s="0" t="n">
        <f aca="false">AVERAGE(F434:F436)</f>
        <v>134.083333333333</v>
      </c>
      <c r="K437" s="10" t="n">
        <v>112.3</v>
      </c>
      <c r="L437" s="9" t="n">
        <f aca="false">(K437-K436)/K436</f>
        <v>0.0292365502703693</v>
      </c>
      <c r="M437" s="10" t="n">
        <v>125.36</v>
      </c>
      <c r="N437" s="9" t="n">
        <f aca="false">(M437-M436)/M436</f>
        <v>0.021345934495682</v>
      </c>
      <c r="O437" s="0" t="n">
        <v>2.36</v>
      </c>
      <c r="P437" s="9" t="n">
        <f aca="false">(O437-O436)/O436</f>
        <v>-0.00421940928270052</v>
      </c>
      <c r="Q437" s="10" t="n">
        <v>-0.44</v>
      </c>
      <c r="R437" s="9" t="n">
        <f aca="false">(Q437-Q436)/Q436</f>
        <v>0.333333333333333</v>
      </c>
      <c r="S437" s="10" t="n">
        <v>3.24</v>
      </c>
      <c r="T437" s="9" t="n">
        <f aca="false">(S437-S436)/S436</f>
        <v>-0.0357142857142856</v>
      </c>
      <c r="U437" s="13" t="n">
        <v>3.21</v>
      </c>
      <c r="V437" s="9" t="n">
        <f aca="false">(U437-U436)/U436</f>
        <v>-0.0272727272727271</v>
      </c>
      <c r="W437" s="0" t="n">
        <v>1.4826</v>
      </c>
      <c r="X437" s="23" t="n">
        <f aca="false">(W437-W436)/W436</f>
        <v>0.0191792122087027</v>
      </c>
      <c r="Y437" s="0" t="n">
        <v>1.2825</v>
      </c>
      <c r="Z437" s="24" t="n">
        <f aca="false">(Y437-Y436)/Y436</f>
        <v>-0.00465657741559954</v>
      </c>
    </row>
    <row r="438" customFormat="false" ht="13.8" hidden="false" customHeight="false" outlineLevel="0" collapsed="false">
      <c r="A438" s="8" t="n">
        <v>40672</v>
      </c>
      <c r="B438" s="0" t="n">
        <v>49.51</v>
      </c>
      <c r="C438" s="9" t="n">
        <f aca="false">(B438-B437)/B437</f>
        <v>-0.0240488862605953</v>
      </c>
      <c r="D438" s="0" t="n">
        <v>17.07</v>
      </c>
      <c r="E438" s="9" t="n">
        <f aca="false">(D438-D437)/D437</f>
        <v>-0.0722826086956521</v>
      </c>
      <c r="F438" s="0" t="n">
        <v>134.04</v>
      </c>
      <c r="G438" s="9" t="n">
        <f aca="false">(F438-F437)/F437</f>
        <v>-0.00119225037257822</v>
      </c>
      <c r="H438" s="0" t="n">
        <f aca="false">AVERAGE(F424:F437)</f>
        <v>132.567857142857</v>
      </c>
      <c r="I438" s="0" t="n">
        <f aca="false">AVERAGE(F431:F437)</f>
        <v>133.394285714286</v>
      </c>
      <c r="J438" s="0" t="n">
        <f aca="false">AVERAGE(F435:F437)</f>
        <v>134.803333333333</v>
      </c>
      <c r="K438" s="10" t="n">
        <v>105.84</v>
      </c>
      <c r="L438" s="9" t="n">
        <f aca="false">(K438-K437)/K437</f>
        <v>-0.0575244879786286</v>
      </c>
      <c r="M438" s="10" t="n">
        <v>119.56</v>
      </c>
      <c r="N438" s="9" t="n">
        <f aca="false">(M438-M437)/M437</f>
        <v>-0.0462667517549457</v>
      </c>
      <c r="O438" s="0" t="n">
        <v>2.23</v>
      </c>
      <c r="P438" s="9" t="n">
        <f aca="false">(O438-O437)/O437</f>
        <v>-0.0550847457627118</v>
      </c>
      <c r="Q438" s="10" t="n">
        <v>-0.36</v>
      </c>
      <c r="R438" s="9" t="n">
        <f aca="false">(Q438-Q437)/Q437</f>
        <v>-0.181818181818182</v>
      </c>
      <c r="S438" s="10" t="n">
        <v>3.2</v>
      </c>
      <c r="T438" s="9" t="n">
        <f aca="false">(S438-S437)/S437</f>
        <v>-0.0123456790123457</v>
      </c>
      <c r="U438" s="13" t="n">
        <v>3.17</v>
      </c>
      <c r="V438" s="9" t="n">
        <f aca="false">(U438-U437)/U437</f>
        <v>-0.0124610591900312</v>
      </c>
      <c r="W438" s="0" t="n">
        <v>1.4346</v>
      </c>
      <c r="X438" s="23" t="n">
        <f aca="false">(W438-W437)/W437</f>
        <v>-0.0323755564548764</v>
      </c>
      <c r="Y438" s="0" t="n">
        <v>1.2588</v>
      </c>
      <c r="Z438" s="24" t="n">
        <f aca="false">(Y438-Y437)/Y437</f>
        <v>-0.0184795321637427</v>
      </c>
    </row>
    <row r="439" customFormat="false" ht="13.8" hidden="false" customHeight="false" outlineLevel="0" collapsed="false">
      <c r="A439" s="8" t="n">
        <v>40679</v>
      </c>
      <c r="B439" s="0" t="n">
        <v>49.69</v>
      </c>
      <c r="C439" s="9" t="n">
        <f aca="false">(B439-B438)/B438</f>
        <v>0.00363562916582508</v>
      </c>
      <c r="D439" s="0" t="n">
        <v>17.43</v>
      </c>
      <c r="E439" s="9" t="n">
        <f aca="false">(D439-D438)/D438</f>
        <v>0.0210896309314587</v>
      </c>
      <c r="F439" s="0" t="n">
        <v>133.61</v>
      </c>
      <c r="G439" s="9" t="n">
        <f aca="false">(F439-F438)/F438</f>
        <v>-0.00320799761265278</v>
      </c>
      <c r="H439" s="0" t="n">
        <f aca="false">AVERAGE(F425:F438)</f>
        <v>132.774285714286</v>
      </c>
      <c r="I439" s="0" t="n">
        <f aca="false">AVERAGE(F432:F438)</f>
        <v>133.785714285714</v>
      </c>
      <c r="J439" s="0" t="n">
        <f aca="false">AVERAGE(F436:F438)</f>
        <v>134.89</v>
      </c>
      <c r="K439" s="10" t="n">
        <v>99.87</v>
      </c>
      <c r="L439" s="9" t="n">
        <f aca="false">(K439-K438)/K438</f>
        <v>-0.05640589569161</v>
      </c>
      <c r="M439" s="10" t="n">
        <v>114.53</v>
      </c>
      <c r="N439" s="9" t="n">
        <f aca="false">(M439-M438)/M438</f>
        <v>-0.0420709267313483</v>
      </c>
      <c r="O439" s="0" t="n">
        <v>2.1</v>
      </c>
      <c r="P439" s="9" t="n">
        <f aca="false">(O439-O438)/O438</f>
        <v>-0.0582959641255605</v>
      </c>
      <c r="Q439" s="10" t="n">
        <v>-0.27</v>
      </c>
      <c r="R439" s="9" t="n">
        <f aca="false">(Q439-Q438)/Q438</f>
        <v>-0.25</v>
      </c>
      <c r="S439" s="10" t="n">
        <v>3.15</v>
      </c>
      <c r="T439" s="9" t="n">
        <f aca="false">(S439-S438)/S438</f>
        <v>-0.0156250000000001</v>
      </c>
      <c r="U439" s="13" t="n">
        <v>3.1</v>
      </c>
      <c r="V439" s="9" t="n">
        <f aca="false">(U439-U438)/U438</f>
        <v>-0.0220820189274449</v>
      </c>
      <c r="W439" s="0" t="n">
        <v>1.4106</v>
      </c>
      <c r="X439" s="23" t="n">
        <f aca="false">(W439-W438)/W438</f>
        <v>-0.0167294019238812</v>
      </c>
      <c r="Y439" s="0" t="n">
        <v>1.2592</v>
      </c>
      <c r="Z439" s="24" t="n">
        <f aca="false">(Y439-Y438)/Y438</f>
        <v>0.000317762948840307</v>
      </c>
    </row>
    <row r="440" customFormat="false" ht="13.8" hidden="false" customHeight="false" outlineLevel="0" collapsed="false">
      <c r="A440" s="8" t="n">
        <v>40686</v>
      </c>
      <c r="B440" s="0" t="n">
        <v>49.72</v>
      </c>
      <c r="C440" s="9" t="n">
        <f aca="false">(B440-B439)/B439</f>
        <v>0.000603743207888934</v>
      </c>
      <c r="D440" s="0" t="n">
        <v>15.98</v>
      </c>
      <c r="E440" s="9" t="n">
        <f aca="false">(D440-D439)/D439</f>
        <v>-0.0831899024670109</v>
      </c>
      <c r="F440" s="0" t="n">
        <v>133.51</v>
      </c>
      <c r="G440" s="9" t="n">
        <f aca="false">(F440-F439)/F439</f>
        <v>-0.000748446972532166</v>
      </c>
      <c r="H440" s="0" t="n">
        <f aca="false">AVERAGE(F426:F439)</f>
        <v>132.81</v>
      </c>
      <c r="I440" s="0" t="n">
        <f aca="false">AVERAGE(F433:F439)</f>
        <v>133.851428571429</v>
      </c>
      <c r="J440" s="0" t="n">
        <f aca="false">AVERAGE(F437:F439)</f>
        <v>133.95</v>
      </c>
      <c r="K440" s="10" t="n">
        <v>97.99</v>
      </c>
      <c r="L440" s="9" t="n">
        <f aca="false">(K440-K439)/K439</f>
        <v>-0.0188244718133575</v>
      </c>
      <c r="M440" s="10" t="n">
        <v>112.02</v>
      </c>
      <c r="N440" s="9" t="n">
        <f aca="false">(M440-M439)/M439</f>
        <v>-0.0219156552868245</v>
      </c>
      <c r="O440" s="0" t="n">
        <v>2.05</v>
      </c>
      <c r="P440" s="9" t="n">
        <f aca="false">(O440-O439)/O439</f>
        <v>-0.0238095238095239</v>
      </c>
      <c r="Q440" s="10" t="n">
        <v>-0.28</v>
      </c>
      <c r="R440" s="9" t="n">
        <f aca="false">(Q440-Q439)/Q439</f>
        <v>0.0370370370370373</v>
      </c>
      <c r="S440" s="10" t="n">
        <v>3.1</v>
      </c>
      <c r="T440" s="9" t="n">
        <f aca="false">(S440-S439)/S439</f>
        <v>-0.0158730158730158</v>
      </c>
      <c r="U440" s="13" t="n">
        <v>3.04</v>
      </c>
      <c r="V440" s="9" t="n">
        <f aca="false">(U440-U439)/U439</f>
        <v>-0.0193548387096774</v>
      </c>
      <c r="W440" s="0" t="n">
        <v>1.4176</v>
      </c>
      <c r="X440" s="23" t="n">
        <f aca="false">(W440-W439)/W439</f>
        <v>0.00496242733588536</v>
      </c>
      <c r="Y440" s="0" t="n">
        <v>1.2445</v>
      </c>
      <c r="Z440" s="24" t="n">
        <f aca="false">(Y440-Y439)/Y439</f>
        <v>-0.011674078780178</v>
      </c>
    </row>
    <row r="441" customFormat="false" ht="13.8" hidden="false" customHeight="false" outlineLevel="0" collapsed="false">
      <c r="A441" s="8" t="n">
        <v>40694</v>
      </c>
      <c r="B441" s="0" t="n">
        <v>47.69</v>
      </c>
      <c r="C441" s="9" t="n">
        <f aca="false">(B441-B440)/B440</f>
        <v>-0.0408286403861625</v>
      </c>
      <c r="D441" s="0" t="n">
        <v>17.95</v>
      </c>
      <c r="E441" s="9" t="n">
        <f aca="false">(D441-D440)/D440</f>
        <v>0.123279098873592</v>
      </c>
      <c r="F441" s="0" t="n">
        <v>130.42</v>
      </c>
      <c r="G441" s="9" t="n">
        <f aca="false">(F441-F440)/F440</f>
        <v>-0.023144333757771</v>
      </c>
      <c r="H441" s="0" t="n">
        <f aca="false">AVERAGE(F427:F440)</f>
        <v>132.737142857143</v>
      </c>
      <c r="I441" s="0" t="n">
        <f aca="false">AVERAGE(F434:F440)</f>
        <v>133.944285714286</v>
      </c>
      <c r="J441" s="0" t="n">
        <f aca="false">AVERAGE(F438:F440)</f>
        <v>133.72</v>
      </c>
      <c r="K441" s="10" t="n">
        <v>99.55</v>
      </c>
      <c r="L441" s="9" t="n">
        <f aca="false">(K441-K440)/K440</f>
        <v>0.0159199918359016</v>
      </c>
      <c r="M441" s="10" t="n">
        <v>113.41</v>
      </c>
      <c r="N441" s="9" t="n">
        <f aca="false">(M441-M440)/M440</f>
        <v>0.0124084984824139</v>
      </c>
      <c r="O441" s="0" t="n">
        <v>2.01</v>
      </c>
      <c r="P441" s="9" t="n">
        <f aca="false">(O441-O440)/O440</f>
        <v>-0.0195121951219512</v>
      </c>
      <c r="Q441" s="10" t="n">
        <v>-0.38</v>
      </c>
      <c r="R441" s="9" t="n">
        <f aca="false">(Q441-Q440)/Q440</f>
        <v>0.357142857142857</v>
      </c>
      <c r="S441" s="10" t="n">
        <v>3.01</v>
      </c>
      <c r="T441" s="9" t="n">
        <f aca="false">(S441-S440)/S440</f>
        <v>-0.0290322580645162</v>
      </c>
      <c r="U441" s="13" t="n">
        <v>2.96</v>
      </c>
      <c r="V441" s="9" t="n">
        <f aca="false">(U441-U440)/U440</f>
        <v>-0.0263157894736842</v>
      </c>
      <c r="W441" s="0" t="n">
        <v>1.4292</v>
      </c>
      <c r="X441" s="23" t="n">
        <f aca="false">(W441-W440)/W440</f>
        <v>0.00818284424379237</v>
      </c>
      <c r="Y441" s="0" t="n">
        <v>1.2183</v>
      </c>
      <c r="Z441" s="24" t="n">
        <f aca="false">(Y441-Y440)/Y440</f>
        <v>-0.0210526315789474</v>
      </c>
    </row>
    <row r="442" customFormat="false" ht="13.8" hidden="false" customHeight="false" outlineLevel="0" collapsed="false">
      <c r="A442" s="8" t="n">
        <v>40700</v>
      </c>
      <c r="B442" s="0" t="n">
        <v>46.73</v>
      </c>
      <c r="C442" s="9" t="n">
        <f aca="false">(B442-B441)/B441</f>
        <v>-0.020130006290627</v>
      </c>
      <c r="D442" s="0" t="n">
        <v>18.86</v>
      </c>
      <c r="E442" s="9" t="n">
        <f aca="false">(D442-D441)/D441</f>
        <v>0.0506963788300836</v>
      </c>
      <c r="F442" s="0" t="n">
        <v>127.6</v>
      </c>
      <c r="G442" s="9" t="n">
        <f aca="false">(F442-F441)/F441</f>
        <v>-0.021622450544395</v>
      </c>
      <c r="H442" s="0" t="n">
        <f aca="false">AVERAGE(F428:F441)</f>
        <v>132.600714285714</v>
      </c>
      <c r="I442" s="0" t="n">
        <f aca="false">AVERAGE(F435:F441)</f>
        <v>133.712857142857</v>
      </c>
      <c r="J442" s="0" t="n">
        <f aca="false">AVERAGE(F439:F441)</f>
        <v>132.513333333333</v>
      </c>
      <c r="K442" s="10" t="n">
        <v>100.92</v>
      </c>
      <c r="L442" s="9" t="n">
        <f aca="false">(K442-K441)/K441</f>
        <v>0.0137619286790558</v>
      </c>
      <c r="M442" s="10" t="n">
        <v>115.68</v>
      </c>
      <c r="N442" s="9" t="n">
        <f aca="false">(M442-M441)/M441</f>
        <v>0.0200158716162597</v>
      </c>
      <c r="O442" s="0" t="n">
        <v>2.02</v>
      </c>
      <c r="P442" s="9" t="n">
        <f aca="false">(O442-O441)/O441</f>
        <v>0.00497512437810957</v>
      </c>
      <c r="Q442" s="10" t="n">
        <v>-0.44</v>
      </c>
      <c r="R442" s="9" t="n">
        <f aca="false">(Q442-Q441)/Q441</f>
        <v>0.157894736842105</v>
      </c>
      <c r="S442" s="10" t="n">
        <v>3</v>
      </c>
      <c r="T442" s="9" t="n">
        <f aca="false">(S442-S441)/S441</f>
        <v>-0.00332225913621255</v>
      </c>
      <c r="U442" s="13" t="n">
        <v>2.95</v>
      </c>
      <c r="V442" s="9" t="n">
        <f aca="false">(U442-U441)/U441</f>
        <v>-0.00337837837837831</v>
      </c>
      <c r="W442" s="0" t="n">
        <v>1.4625</v>
      </c>
      <c r="X442" s="23" t="n">
        <f aca="false">(W442-W441)/W441</f>
        <v>0.0232997481108312</v>
      </c>
      <c r="Y442" s="0" t="n">
        <v>1.2219</v>
      </c>
      <c r="Z442" s="24" t="n">
        <f aca="false">(Y442-Y441)/Y441</f>
        <v>0.00295493720758438</v>
      </c>
    </row>
    <row r="443" customFormat="false" ht="13.8" hidden="false" customHeight="false" outlineLevel="0" collapsed="false">
      <c r="A443" s="8" t="n">
        <v>40707</v>
      </c>
      <c r="B443" s="0" t="n">
        <v>47.45</v>
      </c>
      <c r="C443" s="9" t="n">
        <f aca="false">(B443-B442)/B442</f>
        <v>0.0154076610314574</v>
      </c>
      <c r="D443" s="0" t="n">
        <v>21.85</v>
      </c>
      <c r="E443" s="9" t="n">
        <f aca="false">(D443-D442)/D442</f>
        <v>0.158536585365854</v>
      </c>
      <c r="F443" s="0" t="n">
        <v>127.05</v>
      </c>
      <c r="G443" s="9" t="n">
        <f aca="false">(F443-F442)/F442</f>
        <v>-0.00431034482758619</v>
      </c>
      <c r="H443" s="0" t="n">
        <f aca="false">AVERAGE(F429:F442)</f>
        <v>132.252857142857</v>
      </c>
      <c r="I443" s="0" t="n">
        <f aca="false">AVERAGE(F436:F442)</f>
        <v>132.83</v>
      </c>
      <c r="J443" s="0" t="n">
        <f aca="false">AVERAGE(F440:F442)</f>
        <v>130.51</v>
      </c>
      <c r="K443" s="10" t="n">
        <v>100.05</v>
      </c>
      <c r="L443" s="9" t="n">
        <f aca="false">(K443-K442)/K442</f>
        <v>-0.00862068965517246</v>
      </c>
      <c r="M443" s="10" t="n">
        <v>117.73</v>
      </c>
      <c r="N443" s="9" t="n">
        <f aca="false">(M443-M442)/M442</f>
        <v>0.0177213001383126</v>
      </c>
      <c r="O443" s="0" t="n">
        <v>1.98</v>
      </c>
      <c r="P443" s="9" t="n">
        <f aca="false">(O443-O442)/O442</f>
        <v>-0.0198019801980198</v>
      </c>
      <c r="Q443" s="10" t="n">
        <v>-0.4</v>
      </c>
      <c r="R443" s="9" t="n">
        <f aca="false">(Q443-Q442)/Q442</f>
        <v>-0.0909090909090909</v>
      </c>
      <c r="S443" s="10" t="n">
        <v>2.99</v>
      </c>
      <c r="T443" s="9" t="n">
        <f aca="false">(S443-S442)/S442</f>
        <v>-0.00333333333333326</v>
      </c>
      <c r="U443" s="13" t="n">
        <v>2.94</v>
      </c>
      <c r="V443" s="9" t="n">
        <f aca="false">(U443-U442)/U442</f>
        <v>-0.0033898305084745</v>
      </c>
      <c r="W443" s="0" t="n">
        <v>1.4337</v>
      </c>
      <c r="X443" s="23" t="n">
        <f aca="false">(W443-W442)/W442</f>
        <v>-0.0196923076923077</v>
      </c>
      <c r="Y443" s="0" t="n">
        <v>1.208</v>
      </c>
      <c r="Z443" s="24" t="n">
        <f aca="false">(Y443-Y442)/Y442</f>
        <v>-0.0113757263278501</v>
      </c>
    </row>
    <row r="444" customFormat="false" ht="13.8" hidden="false" customHeight="false" outlineLevel="0" collapsed="false">
      <c r="A444" s="8" t="n">
        <v>40714</v>
      </c>
      <c r="B444" s="0" t="n">
        <v>46.32</v>
      </c>
      <c r="C444" s="9" t="n">
        <f aca="false">(B444-B443)/B443</f>
        <v>-0.0238145416227609</v>
      </c>
      <c r="D444" s="0" t="n">
        <v>21.1</v>
      </c>
      <c r="E444" s="9" t="n">
        <f aca="false">(D444-D443)/D443</f>
        <v>-0.034324942791762</v>
      </c>
      <c r="F444" s="0" t="n">
        <v>126.81</v>
      </c>
      <c r="G444" s="9" t="n">
        <f aca="false">(F444-F443)/F443</f>
        <v>-0.00188902007083821</v>
      </c>
      <c r="H444" s="0" t="n">
        <f aca="false">AVERAGE(F430:F443)</f>
        <v>131.982142857143</v>
      </c>
      <c r="I444" s="0" t="n">
        <f aca="false">AVERAGE(F437:F443)</f>
        <v>131.49</v>
      </c>
      <c r="J444" s="0" t="n">
        <f aca="false">AVERAGE(F441:F443)</f>
        <v>128.356666666667</v>
      </c>
      <c r="K444" s="10" t="n">
        <v>95.87</v>
      </c>
      <c r="L444" s="9" t="n">
        <f aca="false">(K444-K443)/K443</f>
        <v>-0.0417791104447775</v>
      </c>
      <c r="M444" s="10" t="n">
        <v>116.79</v>
      </c>
      <c r="N444" s="9" t="n">
        <f aca="false">(M444-M443)/M443</f>
        <v>-0.00798437101843199</v>
      </c>
      <c r="O444" s="0" t="n">
        <v>1.86</v>
      </c>
      <c r="P444" s="9" t="n">
        <f aca="false">(O444-O443)/O443</f>
        <v>-0.0606060606060607</v>
      </c>
      <c r="Q444" s="10" t="n">
        <v>-0.34</v>
      </c>
      <c r="R444" s="9" t="n">
        <f aca="false">(Q444-Q443)/Q443</f>
        <v>-0.15</v>
      </c>
      <c r="S444" s="10" t="n">
        <v>2.96</v>
      </c>
      <c r="T444" s="9" t="n">
        <f aca="false">(S444-S443)/S443</f>
        <v>-0.0100334448160536</v>
      </c>
      <c r="U444" s="13" t="n">
        <v>2.94</v>
      </c>
      <c r="V444" s="9" t="n">
        <f aca="false">(U444-U443)/U443</f>
        <v>0</v>
      </c>
      <c r="W444" s="0" t="n">
        <v>1.4289</v>
      </c>
      <c r="X444" s="23" t="n">
        <f aca="false">(W444-W443)/W443</f>
        <v>-0.00334798074911063</v>
      </c>
      <c r="Y444" s="0" t="n">
        <v>1.2126</v>
      </c>
      <c r="Z444" s="24" t="n">
        <f aca="false">(Y444-Y443)/Y443</f>
        <v>0.0038079470198675</v>
      </c>
    </row>
    <row r="445" customFormat="false" ht="13.8" hidden="false" customHeight="false" outlineLevel="0" collapsed="false">
      <c r="A445" s="8" t="n">
        <v>40721</v>
      </c>
      <c r="B445" s="0" t="n">
        <v>49.22</v>
      </c>
      <c r="C445" s="9" t="n">
        <f aca="false">(B445-B444)/B444</f>
        <v>0.062607944732297</v>
      </c>
      <c r="D445" s="0" t="n">
        <v>15.87</v>
      </c>
      <c r="E445" s="9" t="n">
        <f aca="false">(D445-D444)/D444</f>
        <v>-0.247867298578199</v>
      </c>
      <c r="F445" s="0" t="n">
        <v>133.92</v>
      </c>
      <c r="G445" s="9" t="n">
        <f aca="false">(F445-F444)/F444</f>
        <v>0.056068133427963</v>
      </c>
      <c r="H445" s="0" t="n">
        <f aca="false">AVERAGE(F431:F444)</f>
        <v>131.914285714286</v>
      </c>
      <c r="I445" s="0" t="n">
        <f aca="false">AVERAGE(F438:F444)</f>
        <v>130.434285714286</v>
      </c>
      <c r="J445" s="0" t="n">
        <f aca="false">AVERAGE(F442:F444)</f>
        <v>127.153333333333</v>
      </c>
      <c r="K445" s="10" t="n">
        <v>92.7</v>
      </c>
      <c r="L445" s="9" t="n">
        <f aca="false">(K445-K444)/K444</f>
        <v>-0.0330656096797747</v>
      </c>
      <c r="M445" s="10" t="n">
        <v>110.18</v>
      </c>
      <c r="N445" s="9" t="n">
        <f aca="false">(M445-M444)/M444</f>
        <v>-0.0565973114136484</v>
      </c>
      <c r="O445" s="0" t="n">
        <v>1.95</v>
      </c>
      <c r="P445" s="9" t="n">
        <f aca="false">(O445-O444)/O444</f>
        <v>0.0483870967741937</v>
      </c>
      <c r="Q445" s="10" t="n">
        <v>-0.28</v>
      </c>
      <c r="R445" s="9" t="n">
        <f aca="false">(Q445-Q444)/Q444</f>
        <v>-0.176470588235294</v>
      </c>
      <c r="S445" s="10" t="n">
        <v>3.11</v>
      </c>
      <c r="T445" s="9" t="n">
        <f aca="false">(S445-S444)/S444</f>
        <v>0.0506756756756756</v>
      </c>
      <c r="U445" s="13" t="n">
        <v>3.09</v>
      </c>
      <c r="V445" s="9" t="n">
        <f aca="false">(U445-U444)/U444</f>
        <v>0.0510204081632653</v>
      </c>
      <c r="W445" s="0" t="n">
        <v>1.417</v>
      </c>
      <c r="X445" s="23" t="n">
        <f aca="false">(W445-W444)/W444</f>
        <v>-0.00832808454055569</v>
      </c>
      <c r="Y445" s="0" t="n">
        <v>1.1869</v>
      </c>
      <c r="Z445" s="24" t="n">
        <f aca="false">(Y445-Y444)/Y444</f>
        <v>-0.0211941283193137</v>
      </c>
    </row>
    <row r="446" customFormat="false" ht="13.8" hidden="false" customHeight="false" outlineLevel="0" collapsed="false">
      <c r="A446" s="8" t="n">
        <v>40729</v>
      </c>
      <c r="B446" s="0" t="n">
        <v>48.34</v>
      </c>
      <c r="C446" s="9" t="n">
        <f aca="false">(B446-B445)/B445</f>
        <v>-0.0178789110117837</v>
      </c>
      <c r="D446" s="0" t="n">
        <v>15.95</v>
      </c>
      <c r="E446" s="9" t="n">
        <f aca="false">(D446-D445)/D445</f>
        <v>0.00504095778197858</v>
      </c>
      <c r="F446" s="0" t="n">
        <v>134.4</v>
      </c>
      <c r="G446" s="9" t="n">
        <f aca="false">(F446-F445)/F445</f>
        <v>0.00358422939068114</v>
      </c>
      <c r="H446" s="0" t="n">
        <f aca="false">AVERAGE(F432:F445)</f>
        <v>132.101428571429</v>
      </c>
      <c r="I446" s="0" t="n">
        <f aca="false">AVERAGE(F439:F445)</f>
        <v>130.417142857143</v>
      </c>
      <c r="J446" s="0" t="n">
        <f aca="false">AVERAGE(F443:F445)</f>
        <v>129.26</v>
      </c>
      <c r="K446" s="10" t="n">
        <v>93.7</v>
      </c>
      <c r="L446" s="9" t="n">
        <f aca="false">(K446-K445)/K445</f>
        <v>0.0107874865156419</v>
      </c>
      <c r="M446" s="10" t="n">
        <v>109.03</v>
      </c>
      <c r="N446" s="9" t="n">
        <f aca="false">(M446-M445)/M445</f>
        <v>-0.0104374659647849</v>
      </c>
      <c r="O446" s="0" t="n">
        <v>2.05</v>
      </c>
      <c r="P446" s="9" t="n">
        <f aca="false">(O446-O445)/O445</f>
        <v>0.0512820512820511</v>
      </c>
      <c r="Q446" s="10" t="n">
        <v>-0.38</v>
      </c>
      <c r="R446" s="9" t="n">
        <f aca="false">(Q446-Q445)/Q445</f>
        <v>0.357142857142857</v>
      </c>
      <c r="S446" s="10" t="n">
        <v>3.12</v>
      </c>
      <c r="T446" s="9" t="n">
        <f aca="false">(S446-S445)/S445</f>
        <v>0.00321543408360136</v>
      </c>
      <c r="U446" s="13" t="n">
        <v>3.1</v>
      </c>
      <c r="V446" s="9" t="n">
        <f aca="false">(U446-U445)/U445</f>
        <v>0.00323624595469263</v>
      </c>
      <c r="W446" s="0" t="n">
        <v>1.4521</v>
      </c>
      <c r="X446" s="23" t="n">
        <f aca="false">(W446-W445)/W445</f>
        <v>0.0247706422018348</v>
      </c>
      <c r="Y446" s="0" t="n">
        <v>1.2318</v>
      </c>
      <c r="Z446" s="24" t="n">
        <f aca="false">(Y446-Y445)/Y445</f>
        <v>0.0378296402392787</v>
      </c>
    </row>
    <row r="447" customFormat="false" ht="13.8" hidden="false" customHeight="false" outlineLevel="0" collapsed="false">
      <c r="A447" s="8" t="n">
        <v>40735</v>
      </c>
      <c r="B447" s="0" t="n">
        <v>46.29</v>
      </c>
      <c r="C447" s="9" t="n">
        <f aca="false">(B447-B446)/B446</f>
        <v>-0.0424079437318991</v>
      </c>
      <c r="D447" s="0" t="n">
        <v>19.53</v>
      </c>
      <c r="E447" s="9" t="n">
        <f aca="false">(D447-D446)/D446</f>
        <v>0.224451410658307</v>
      </c>
      <c r="F447" s="0" t="n">
        <v>131.69</v>
      </c>
      <c r="G447" s="9" t="n">
        <f aca="false">(F447-F446)/F446</f>
        <v>-0.0201636904761905</v>
      </c>
      <c r="H447" s="0" t="n">
        <f aca="false">AVERAGE(F433:F446)</f>
        <v>132.190714285714</v>
      </c>
      <c r="I447" s="0" t="n">
        <f aca="false">AVERAGE(F440:F446)</f>
        <v>130.53</v>
      </c>
      <c r="J447" s="0" t="n">
        <f aca="false">AVERAGE(F444:F446)</f>
        <v>131.71</v>
      </c>
      <c r="K447" s="10" t="n">
        <v>97.12</v>
      </c>
      <c r="L447" s="9" t="n">
        <f aca="false">(K447-K446)/K446</f>
        <v>0.0364994663820705</v>
      </c>
      <c r="M447" s="10" t="n">
        <v>115.39</v>
      </c>
      <c r="N447" s="9" t="n">
        <f aca="false">(M447-M446)/M446</f>
        <v>0.0583325690177015</v>
      </c>
      <c r="O447" s="0" t="n">
        <v>2</v>
      </c>
      <c r="P447" s="9" t="n">
        <f aca="false">(O447-O446)/O446</f>
        <v>-0.0243902439024389</v>
      </c>
      <c r="Q447" s="10" t="n">
        <v>-0.52</v>
      </c>
      <c r="R447" s="9" t="n">
        <f aca="false">(Q447-Q446)/Q446</f>
        <v>0.368421052631579</v>
      </c>
      <c r="S447" s="10" t="n">
        <v>2.94</v>
      </c>
      <c r="T447" s="9" t="n">
        <f aca="false">(S447-S446)/S446</f>
        <v>-0.0576923076923077</v>
      </c>
      <c r="U447" s="13" t="n">
        <v>2.92</v>
      </c>
      <c r="V447" s="9" t="n">
        <f aca="false">(U447-U446)/U446</f>
        <v>-0.0580645161290323</v>
      </c>
      <c r="W447" s="0" t="n">
        <v>1.4249</v>
      </c>
      <c r="X447" s="23" t="n">
        <f aca="false">(W447-W446)/W446</f>
        <v>-0.0187314923214654</v>
      </c>
      <c r="Y447" s="0" t="n">
        <v>1.1929</v>
      </c>
      <c r="Z447" s="24" t="n">
        <f aca="false">(Y447-Y446)/Y446</f>
        <v>-0.0315798019158954</v>
      </c>
    </row>
    <row r="448" customFormat="false" ht="13.8" hidden="false" customHeight="false" outlineLevel="0" collapsed="false">
      <c r="A448" s="8" t="n">
        <v>40742</v>
      </c>
      <c r="B448" s="0" t="n">
        <v>47.82</v>
      </c>
      <c r="C448" s="9" t="n">
        <f aca="false">(B448-B447)/B447</f>
        <v>0.033052495139339</v>
      </c>
      <c r="D448" s="0" t="n">
        <v>17.52</v>
      </c>
      <c r="E448" s="9" t="n">
        <f aca="false">(D448-D447)/D447</f>
        <v>-0.102918586789555</v>
      </c>
      <c r="F448" s="0" t="n">
        <v>134.58</v>
      </c>
      <c r="G448" s="9" t="n">
        <f aca="false">(F448-F447)/F447</f>
        <v>0.0219454780165541</v>
      </c>
      <c r="H448" s="0" t="n">
        <f aca="false">AVERAGE(F434:F447)</f>
        <v>132.107142857143</v>
      </c>
      <c r="I448" s="0" t="n">
        <f aca="false">AVERAGE(F441:F447)</f>
        <v>130.27</v>
      </c>
      <c r="J448" s="0" t="n">
        <f aca="false">AVERAGE(F445:F447)</f>
        <v>133.336666666667</v>
      </c>
      <c r="K448" s="10" t="n">
        <v>96.72</v>
      </c>
      <c r="L448" s="9" t="n">
        <f aca="false">(K448-K447)/K447</f>
        <v>-0.00411861614497535</v>
      </c>
      <c r="M448" s="10" t="n">
        <v>117.72</v>
      </c>
      <c r="N448" s="9" t="n">
        <f aca="false">(M448-M447)/M447</f>
        <v>0.0201923910217523</v>
      </c>
      <c r="O448" s="0" t="n">
        <v>2.02</v>
      </c>
      <c r="P448" s="9" t="n">
        <f aca="false">(O448-O447)/O447</f>
        <v>0.01</v>
      </c>
      <c r="Q448" s="10" t="n">
        <v>-0.52</v>
      </c>
      <c r="R448" s="9" t="n">
        <f aca="false">(Q448-Q447)/Q447</f>
        <v>-0</v>
      </c>
      <c r="S448" s="10" t="n">
        <v>2.97</v>
      </c>
      <c r="T448" s="9" t="n">
        <f aca="false">(S448-S447)/S447</f>
        <v>0.010204081632653</v>
      </c>
      <c r="U448" s="13" t="n">
        <v>2.94</v>
      </c>
      <c r="V448" s="9" t="n">
        <f aca="false">(U448-U447)/U447</f>
        <v>0.00684931506849331</v>
      </c>
      <c r="W448" s="0" t="n">
        <v>1.4145</v>
      </c>
      <c r="X448" s="23" t="n">
        <f aca="false">(W448-W447)/W447</f>
        <v>-0.00729875780756542</v>
      </c>
      <c r="Y448" s="0" t="n">
        <v>1.1497</v>
      </c>
      <c r="Z448" s="24" t="n">
        <f aca="false">(Y448-Y447)/Y447</f>
        <v>-0.0362142677508594</v>
      </c>
    </row>
    <row r="449" customFormat="false" ht="13.8" hidden="false" customHeight="false" outlineLevel="0" collapsed="false">
      <c r="A449" s="8" t="n">
        <v>40749</v>
      </c>
      <c r="B449" s="0" t="n">
        <v>46.01</v>
      </c>
      <c r="C449" s="9" t="n">
        <f aca="false">(B449-B448)/B448</f>
        <v>-0.0378502718527813</v>
      </c>
      <c r="D449" s="0" t="n">
        <v>25.25</v>
      </c>
      <c r="E449" s="9" t="n">
        <f aca="false">(D449-D448)/D448</f>
        <v>0.441210045662101</v>
      </c>
      <c r="F449" s="0" t="n">
        <v>129.33</v>
      </c>
      <c r="G449" s="9" t="n">
        <f aca="false">(F449-F448)/F448</f>
        <v>-0.0390102541239411</v>
      </c>
      <c r="H449" s="0" t="n">
        <f aca="false">AVERAGE(F435:F448)</f>
        <v>132.288571428571</v>
      </c>
      <c r="I449" s="0" t="n">
        <f aca="false">AVERAGE(F442:F448)</f>
        <v>130.864285714286</v>
      </c>
      <c r="J449" s="0" t="n">
        <f aca="false">AVERAGE(F446:F448)</f>
        <v>133.556666666667</v>
      </c>
      <c r="K449" s="10" t="n">
        <v>98.01</v>
      </c>
      <c r="L449" s="9" t="n">
        <f aca="false">(K449-K448)/K448</f>
        <v>0.0133374689826303</v>
      </c>
      <c r="M449" s="10" t="n">
        <v>118.2</v>
      </c>
      <c r="N449" s="9" t="n">
        <f aca="false">(M449-M448)/M448</f>
        <v>0.00407747196738026</v>
      </c>
      <c r="O449" s="0" t="n">
        <v>2.07</v>
      </c>
      <c r="P449" s="9" t="n">
        <f aca="false">(O449-O448)/O448</f>
        <v>0.0247524752475247</v>
      </c>
      <c r="Q449" s="10" t="n">
        <v>-0.57</v>
      </c>
      <c r="R449" s="9" t="n">
        <f aca="false">(Q449-Q448)/Q448</f>
        <v>0.0961538461538462</v>
      </c>
      <c r="S449" s="10" t="n">
        <v>2.97</v>
      </c>
      <c r="T449" s="9" t="n">
        <f aca="false">(S449-S448)/S448</f>
        <v>0</v>
      </c>
      <c r="U449" s="13" t="n">
        <v>2.9</v>
      </c>
      <c r="V449" s="9" t="n">
        <f aca="false">(U449-U448)/U448</f>
        <v>-0.0136054421768708</v>
      </c>
      <c r="W449" s="0" t="n">
        <v>1.4361</v>
      </c>
      <c r="X449" s="23" t="n">
        <f aca="false">(W449-W448)/W448</f>
        <v>0.0152704135737008</v>
      </c>
      <c r="Y449" s="0" t="n">
        <v>1.1744</v>
      </c>
      <c r="Z449" s="24" t="n">
        <f aca="false">(Y449-Y448)/Y448</f>
        <v>0.02148386535618</v>
      </c>
    </row>
    <row r="450" customFormat="false" ht="13.8" hidden="false" customHeight="false" outlineLevel="0" collapsed="false">
      <c r="A450" s="8" t="n">
        <v>40756</v>
      </c>
      <c r="B450" s="0" t="n">
        <v>41.42</v>
      </c>
      <c r="C450" s="9" t="n">
        <f aca="false">(B450-B449)/B449</f>
        <v>-0.0997609215387958</v>
      </c>
      <c r="D450" s="0" t="n">
        <v>32</v>
      </c>
      <c r="E450" s="9" t="n">
        <f aca="false">(D450-D449)/D449</f>
        <v>0.267326732673267</v>
      </c>
      <c r="F450" s="0" t="n">
        <v>120.08</v>
      </c>
      <c r="G450" s="9" t="n">
        <f aca="false">(F450-F449)/F449</f>
        <v>-0.0715224619191217</v>
      </c>
      <c r="H450" s="0" t="n">
        <f aca="false">AVERAGE(F436:F449)</f>
        <v>131.970714285714</v>
      </c>
      <c r="I450" s="0" t="n">
        <f aca="false">AVERAGE(F443:F449)</f>
        <v>131.111428571429</v>
      </c>
      <c r="J450" s="0" t="n">
        <f aca="false">AVERAGE(F447:F449)</f>
        <v>131.866666666667</v>
      </c>
      <c r="K450" s="10" t="n">
        <v>97.83</v>
      </c>
      <c r="L450" s="9" t="n">
        <f aca="false">(K450-K449)/K449</f>
        <v>-0.00183654729109282</v>
      </c>
      <c r="M450" s="10" t="n">
        <v>117.7</v>
      </c>
      <c r="N450" s="9" t="n">
        <f aca="false">(M450-M449)/M449</f>
        <v>-0.00423011844331641</v>
      </c>
      <c r="O450" s="0" t="n">
        <v>1.91</v>
      </c>
      <c r="P450" s="9" t="n">
        <f aca="false">(O450-O449)/O449</f>
        <v>-0.077294685990338</v>
      </c>
      <c r="Q450" s="10" t="n">
        <v>-0.68</v>
      </c>
      <c r="R450" s="9" t="n">
        <f aca="false">(Q450-Q449)/Q449</f>
        <v>0.192982456140351</v>
      </c>
      <c r="S450" s="10" t="n">
        <v>2.62</v>
      </c>
      <c r="T450" s="9" t="n">
        <f aca="false">(S450-S449)/S449</f>
        <v>-0.117845117845118</v>
      </c>
      <c r="U450" s="13" t="n">
        <v>2.58</v>
      </c>
      <c r="V450" s="9" t="n">
        <f aca="false">(U450-U449)/U449</f>
        <v>-0.110344827586207</v>
      </c>
      <c r="W450" s="0" t="n">
        <v>1.4379</v>
      </c>
      <c r="X450" s="23" t="n">
        <f aca="false">(W450-W449)/W449</f>
        <v>0.00125339461040319</v>
      </c>
      <c r="Y450" s="0" t="n">
        <v>1.1328</v>
      </c>
      <c r="Z450" s="24" t="n">
        <f aca="false">(Y450-Y449)/Y449</f>
        <v>-0.0354223433242507</v>
      </c>
    </row>
    <row r="451" customFormat="false" ht="13.8" hidden="false" customHeight="false" outlineLevel="0" collapsed="false">
      <c r="A451" s="8" t="n">
        <v>40763</v>
      </c>
      <c r="B451" s="0" t="n">
        <v>37.72</v>
      </c>
      <c r="C451" s="9" t="n">
        <f aca="false">(B451-B450)/B450</f>
        <v>-0.0893288266537905</v>
      </c>
      <c r="D451" s="0" t="n">
        <v>36.36</v>
      </c>
      <c r="E451" s="9" t="n">
        <f aca="false">(D451-D450)/D450</f>
        <v>0.13625</v>
      </c>
      <c r="F451" s="0" t="n">
        <v>118.12</v>
      </c>
      <c r="G451" s="9" t="n">
        <f aca="false">(F451-F450)/F450</f>
        <v>-0.0163224516988674</v>
      </c>
      <c r="H451" s="0" t="n">
        <f aca="false">AVERAGE(F437:F450)</f>
        <v>130.802857142857</v>
      </c>
      <c r="I451" s="0" t="n">
        <f aca="false">AVERAGE(F444:F450)</f>
        <v>130.115714285714</v>
      </c>
      <c r="J451" s="0" t="n">
        <f aca="false">AVERAGE(F448:F450)</f>
        <v>127.996666666667</v>
      </c>
      <c r="K451" s="10" t="n">
        <v>90.85</v>
      </c>
      <c r="L451" s="9" t="n">
        <f aca="false">(K451-K450)/K450</f>
        <v>-0.0713482571808239</v>
      </c>
      <c r="M451" s="10" t="n">
        <v>112.65</v>
      </c>
      <c r="N451" s="9" t="n">
        <f aca="false">(M451-M450)/M450</f>
        <v>-0.0429056924384027</v>
      </c>
      <c r="O451" s="0" t="n">
        <v>1.83</v>
      </c>
      <c r="P451" s="9" t="n">
        <f aca="false">(O451-O450)/O450</f>
        <v>-0.0418848167539267</v>
      </c>
      <c r="Q451" s="10" t="n">
        <v>-0.84</v>
      </c>
      <c r="R451" s="9" t="n">
        <f aca="false">(Q451-Q450)/Q450</f>
        <v>0.235294117647059</v>
      </c>
      <c r="S451" s="10" t="n">
        <v>2.27</v>
      </c>
      <c r="T451" s="9" t="n">
        <f aca="false">(S451-S450)/S450</f>
        <v>-0.133587786259542</v>
      </c>
      <c r="U451" s="13" t="n">
        <v>2.24</v>
      </c>
      <c r="V451" s="9" t="n">
        <f aca="false">(U451-U450)/U450</f>
        <v>-0.131782945736434</v>
      </c>
      <c r="W451" s="0" t="n">
        <v>1.4274</v>
      </c>
      <c r="X451" s="23" t="n">
        <f aca="false">(W451-W450)/W450</f>
        <v>-0.00730231587732106</v>
      </c>
      <c r="Y451" s="0" t="n">
        <v>1.0929</v>
      </c>
      <c r="Z451" s="24" t="n">
        <f aca="false">(Y451-Y450)/Y450</f>
        <v>-0.0352224576271187</v>
      </c>
    </row>
    <row r="452" customFormat="false" ht="13.8" hidden="false" customHeight="false" outlineLevel="0" collapsed="false">
      <c r="A452" s="8" t="n">
        <v>40770</v>
      </c>
      <c r="B452" s="0" t="n">
        <v>35.49</v>
      </c>
      <c r="C452" s="9" t="n">
        <f aca="false">(B452-B451)/B451</f>
        <v>-0.059119830328738</v>
      </c>
      <c r="D452" s="0" t="n">
        <v>43.05</v>
      </c>
      <c r="E452" s="9" t="n">
        <f aca="false">(D452-D451)/D451</f>
        <v>0.183993399339934</v>
      </c>
      <c r="F452" s="0" t="n">
        <v>112.64</v>
      </c>
      <c r="G452" s="9" t="n">
        <f aca="false">(F452-F451)/F451</f>
        <v>-0.0463934981374873</v>
      </c>
      <c r="H452" s="0" t="n">
        <f aca="false">AVERAGE(F438:F451)</f>
        <v>129.654285714286</v>
      </c>
      <c r="I452" s="0" t="n">
        <f aca="false">AVERAGE(F445:F451)</f>
        <v>128.874285714286</v>
      </c>
      <c r="J452" s="0" t="n">
        <f aca="false">AVERAGE(F449:F451)</f>
        <v>122.51</v>
      </c>
      <c r="K452" s="10" t="n">
        <v>82.86</v>
      </c>
      <c r="L452" s="9" t="n">
        <f aca="false">(K452-K451)/K451</f>
        <v>-0.0879471656576774</v>
      </c>
      <c r="M452" s="10" t="n">
        <v>105.3</v>
      </c>
      <c r="N452" s="9" t="n">
        <f aca="false">(M452-M451)/M451</f>
        <v>-0.0652463382157125</v>
      </c>
      <c r="O452" s="0" t="n">
        <v>1.72</v>
      </c>
      <c r="P452" s="9" t="n">
        <f aca="false">(O452-O451)/O451</f>
        <v>-0.0601092896174863</v>
      </c>
      <c r="Q452" s="10" t="n">
        <v>-0.79</v>
      </c>
      <c r="R452" s="9" t="n">
        <f aca="false">(Q452-Q451)/Q451</f>
        <v>-0.0595238095238094</v>
      </c>
      <c r="S452" s="10" t="n">
        <v>2.17</v>
      </c>
      <c r="T452" s="9" t="n">
        <f aca="false">(S452-S451)/S451</f>
        <v>-0.0440528634361234</v>
      </c>
      <c r="U452" s="13" t="n">
        <v>2.15</v>
      </c>
      <c r="V452" s="9" t="n">
        <f aca="false">(U452-U451)/U451</f>
        <v>-0.0401785714285716</v>
      </c>
      <c r="W452" s="0" t="n">
        <v>1.4248</v>
      </c>
      <c r="X452" s="23" t="n">
        <f aca="false">(W452-W451)/W451</f>
        <v>-0.00182149362477227</v>
      </c>
      <c r="Y452" s="0" t="n">
        <v>1.1066</v>
      </c>
      <c r="Z452" s="24" t="n">
        <f aca="false">(Y452-Y451)/Y451</f>
        <v>0.0125354561259036</v>
      </c>
    </row>
    <row r="453" customFormat="false" ht="13.8" hidden="false" customHeight="false" outlineLevel="0" collapsed="false">
      <c r="A453" s="8" t="n">
        <v>40777</v>
      </c>
      <c r="B453" s="0" t="n">
        <v>38.12</v>
      </c>
      <c r="C453" s="9" t="n">
        <f aca="false">(B453-B452)/B452</f>
        <v>0.0741053817976894</v>
      </c>
      <c r="D453" s="0" t="n">
        <v>35.59</v>
      </c>
      <c r="E453" s="9" t="n">
        <f aca="false">(D453-D452)/D452</f>
        <v>-0.1732868757259</v>
      </c>
      <c r="F453" s="0" t="n">
        <v>117.97</v>
      </c>
      <c r="G453" s="9" t="n">
        <f aca="false">(F453-F452)/F452</f>
        <v>0.0473188920454545</v>
      </c>
      <c r="H453" s="0" t="n">
        <f aca="false">AVERAGE(F439:F452)</f>
        <v>128.125714285714</v>
      </c>
      <c r="I453" s="0" t="n">
        <f aca="false">AVERAGE(F446:F452)</f>
        <v>125.834285714286</v>
      </c>
      <c r="J453" s="0" t="n">
        <f aca="false">AVERAGE(F450:F452)</f>
        <v>116.946666666667</v>
      </c>
      <c r="K453" s="10" t="n">
        <v>85.36</v>
      </c>
      <c r="L453" s="9" t="n">
        <f aca="false">(K453-K452)/K452</f>
        <v>0.0301713734009172</v>
      </c>
      <c r="M453" s="10" t="n">
        <v>109.54</v>
      </c>
      <c r="N453" s="9" t="n">
        <f aca="false">(M453-M452)/M452</f>
        <v>0.0402659069325737</v>
      </c>
      <c r="O453" s="0" t="n">
        <v>1.67</v>
      </c>
      <c r="P453" s="9" t="n">
        <f aca="false">(O453-O452)/O452</f>
        <v>-0.0290697674418606</v>
      </c>
      <c r="Q453" s="10" t="n">
        <v>-0.7</v>
      </c>
      <c r="R453" s="9" t="n">
        <f aca="false">(Q453-Q452)/Q452</f>
        <v>-0.113924050632911</v>
      </c>
      <c r="S453" s="10" t="n">
        <v>2.19</v>
      </c>
      <c r="T453" s="9" t="n">
        <f aca="false">(S453-S452)/S452</f>
        <v>0.00921658986175116</v>
      </c>
      <c r="U453" s="13" t="n">
        <v>2.18</v>
      </c>
      <c r="V453" s="9" t="n">
        <f aca="false">(U453-U452)/U452</f>
        <v>0.0139534883720931</v>
      </c>
      <c r="W453" s="0" t="n">
        <v>1.4393</v>
      </c>
      <c r="X453" s="23" t="n">
        <f aca="false">(W453-W452)/W452</f>
        <v>0.0101768669286917</v>
      </c>
      <c r="Y453" s="0" t="n">
        <v>1.1324</v>
      </c>
      <c r="Z453" s="24" t="n">
        <f aca="false">(Y453-Y452)/Y452</f>
        <v>0.0233146575094886</v>
      </c>
    </row>
    <row r="454" customFormat="false" ht="13.8" hidden="false" customHeight="false" outlineLevel="0" collapsed="false">
      <c r="A454" s="8" t="n">
        <v>40784</v>
      </c>
      <c r="B454" s="0" t="n">
        <v>37</v>
      </c>
      <c r="C454" s="9" t="n">
        <f aca="false">(B454-B453)/B453</f>
        <v>-0.0293809024134312</v>
      </c>
      <c r="D454" s="0" t="n">
        <v>33.92</v>
      </c>
      <c r="E454" s="9" t="n">
        <f aca="false">(D454-D453)/D453</f>
        <v>-0.0469232930598483</v>
      </c>
      <c r="F454" s="0" t="n">
        <v>117.85</v>
      </c>
      <c r="G454" s="9" t="n">
        <f aca="false">(F454-F453)/F453</f>
        <v>-0.00101720776468598</v>
      </c>
      <c r="H454" s="0" t="n">
        <f aca="false">AVERAGE(F440:F453)</f>
        <v>127.008571428571</v>
      </c>
      <c r="I454" s="0" t="n">
        <f aca="false">AVERAGE(F447:F453)</f>
        <v>123.487142857143</v>
      </c>
      <c r="J454" s="0" t="n">
        <f aca="false">AVERAGE(F451:F453)</f>
        <v>116.243333333333</v>
      </c>
      <c r="K454" s="10" t="n">
        <v>85.06</v>
      </c>
      <c r="L454" s="9" t="n">
        <f aca="false">(K454-K453)/K453</f>
        <v>-0.00351452671040297</v>
      </c>
      <c r="M454" s="10" t="n">
        <v>111.06</v>
      </c>
      <c r="N454" s="9" t="n">
        <f aca="false">(M454-M453)/M453</f>
        <v>0.0138762096037977</v>
      </c>
      <c r="O454" s="0" t="n">
        <v>1.7</v>
      </c>
      <c r="P454" s="9" t="n">
        <f aca="false">(O454-O453)/O453</f>
        <v>0.0179640718562876</v>
      </c>
      <c r="Q454" s="10" t="n">
        <v>-0.77</v>
      </c>
      <c r="R454" s="9" t="n">
        <f aca="false">(Q454-Q453)/Q453</f>
        <v>0.1</v>
      </c>
      <c r="S454" s="10" t="n">
        <v>2.17</v>
      </c>
      <c r="T454" s="9" t="n">
        <f aca="false">(S454-S453)/S453</f>
        <v>-0.00913242009132421</v>
      </c>
      <c r="U454" s="13" t="n">
        <v>2.15</v>
      </c>
      <c r="V454" s="9" t="n">
        <f aca="false">(U454-U453)/U453</f>
        <v>-0.0137614678899084</v>
      </c>
      <c r="W454" s="0" t="n">
        <v>1.4496</v>
      </c>
      <c r="X454" s="23" t="n">
        <f aca="false">(W454-W453)/W453</f>
        <v>0.00715625651358297</v>
      </c>
      <c r="Y454" s="0" t="n">
        <v>1.1698</v>
      </c>
      <c r="Z454" s="24" t="n">
        <f aca="false">(Y454-Y453)/Y453</f>
        <v>0.0330271988696573</v>
      </c>
    </row>
    <row r="455" customFormat="false" ht="13.8" hidden="false" customHeight="false" outlineLevel="0" collapsed="false">
      <c r="A455" s="8" t="n">
        <v>40792</v>
      </c>
      <c r="B455" s="0" t="n">
        <v>36.23</v>
      </c>
      <c r="C455" s="9" t="n">
        <f aca="false">(B455-B454)/B454</f>
        <v>-0.0208108108108109</v>
      </c>
      <c r="D455" s="0" t="n">
        <v>38.52</v>
      </c>
      <c r="E455" s="9" t="n">
        <f aca="false">(D455-D454)/D454</f>
        <v>0.13561320754717</v>
      </c>
      <c r="F455" s="0" t="n">
        <v>115.92</v>
      </c>
      <c r="G455" s="9" t="n">
        <f aca="false">(F455-F454)/F454</f>
        <v>-0.016376750106067</v>
      </c>
      <c r="H455" s="0" t="n">
        <f aca="false">AVERAGE(F441:F454)</f>
        <v>125.89</v>
      </c>
      <c r="I455" s="0" t="n">
        <f aca="false">AVERAGE(F448:F454)</f>
        <v>121.51</v>
      </c>
      <c r="J455" s="0" t="n">
        <f aca="false">AVERAGE(F452:F454)</f>
        <v>116.153333333333</v>
      </c>
      <c r="K455" s="10" t="n">
        <v>88.07</v>
      </c>
      <c r="L455" s="9" t="n">
        <f aca="false">(K455-K454)/K454</f>
        <v>0.0353867857982599</v>
      </c>
      <c r="M455" s="10" t="n">
        <v>116.11</v>
      </c>
      <c r="N455" s="9" t="n">
        <f aca="false">(M455-M454)/M454</f>
        <v>0.0454709166216459</v>
      </c>
      <c r="O455" s="0" t="n">
        <v>1.67</v>
      </c>
      <c r="P455" s="9" t="n">
        <f aca="false">(O455-O454)/O454</f>
        <v>-0.0176470588235296</v>
      </c>
      <c r="Q455" s="10" t="n">
        <v>-0.8</v>
      </c>
      <c r="R455" s="9" t="n">
        <f aca="false">(Q455-Q454)/Q454</f>
        <v>0.038961038961039</v>
      </c>
      <c r="S455" s="10" t="n">
        <v>1.99</v>
      </c>
      <c r="T455" s="9" t="n">
        <f aca="false">(S455-S454)/S454</f>
        <v>-0.0829493087557603</v>
      </c>
      <c r="U455" s="13" t="n">
        <v>1.97</v>
      </c>
      <c r="V455" s="9" t="n">
        <f aca="false">(U455-U454)/U454</f>
        <v>-0.0837209302325581</v>
      </c>
      <c r="W455" s="0" t="n">
        <v>1.4192</v>
      </c>
      <c r="X455" s="23" t="n">
        <f aca="false">(W455-W454)/W454</f>
        <v>-0.0209713024282561</v>
      </c>
      <c r="Y455" s="0" t="n">
        <v>1.1211</v>
      </c>
      <c r="Z455" s="24" t="n">
        <f aca="false">(Y455-Y454)/Y454</f>
        <v>-0.0416310480424004</v>
      </c>
    </row>
    <row r="456" customFormat="false" ht="13.8" hidden="false" customHeight="false" outlineLevel="0" collapsed="false">
      <c r="A456" s="8" t="n">
        <v>40798</v>
      </c>
      <c r="B456" s="0" t="n">
        <v>38.69</v>
      </c>
      <c r="C456" s="9" t="n">
        <f aca="false">(B456-B455)/B455</f>
        <v>0.0678995307756004</v>
      </c>
      <c r="D456" s="0" t="n">
        <v>30.98</v>
      </c>
      <c r="E456" s="9" t="n">
        <f aca="false">(D456-D455)/D455</f>
        <v>-0.195742471443406</v>
      </c>
      <c r="F456" s="0" t="n">
        <v>121.52</v>
      </c>
      <c r="G456" s="9" t="n">
        <f aca="false">(F456-F455)/F455</f>
        <v>0.0483091787439613</v>
      </c>
      <c r="H456" s="0" t="n">
        <f aca="false">AVERAGE(F442:F455)</f>
        <v>124.854285714286</v>
      </c>
      <c r="I456" s="0" t="n">
        <f aca="false">AVERAGE(F449:F455)</f>
        <v>118.844285714286</v>
      </c>
      <c r="J456" s="0" t="n">
        <f aca="false">AVERAGE(F453:F455)</f>
        <v>117.246666666667</v>
      </c>
      <c r="K456" s="10" t="n">
        <v>87.91</v>
      </c>
      <c r="L456" s="9" t="n">
        <f aca="false">(K456-K455)/K455</f>
        <v>-0.00181673668672643</v>
      </c>
      <c r="M456" s="10" t="n">
        <v>115.97</v>
      </c>
      <c r="N456" s="9" t="n">
        <f aca="false">(M456-M455)/M455</f>
        <v>-0.00120575316510206</v>
      </c>
      <c r="O456" s="0" t="n">
        <v>1.65</v>
      </c>
      <c r="P456" s="9" t="n">
        <f aca="false">(O456-O455)/O455</f>
        <v>-0.0119760479041916</v>
      </c>
      <c r="Q456" s="10" t="n">
        <v>-0.74</v>
      </c>
      <c r="R456" s="9" t="n">
        <f aca="false">(Q456-Q455)/Q455</f>
        <v>-0.0750000000000001</v>
      </c>
      <c r="S456" s="10" t="n">
        <v>2.03</v>
      </c>
      <c r="T456" s="9" t="n">
        <f aca="false">(S456-S455)/S455</f>
        <v>0.0201005025125627</v>
      </c>
      <c r="U456" s="13" t="n">
        <v>2.02</v>
      </c>
      <c r="V456" s="9" t="n">
        <f aca="false">(U456-U455)/U455</f>
        <v>0.0253807106598985</v>
      </c>
      <c r="W456" s="0" t="n">
        <v>1.3663</v>
      </c>
      <c r="X456" s="23" t="n">
        <f aca="false">(W456-W455)/W455</f>
        <v>-0.0372745208568207</v>
      </c>
      <c r="Y456" s="0" t="n">
        <v>1.2065</v>
      </c>
      <c r="Z456" s="24" t="n">
        <f aca="false">(Y456-Y455)/Y455</f>
        <v>0.0761751850860761</v>
      </c>
    </row>
    <row r="457" customFormat="false" ht="13.8" hidden="false" customHeight="false" outlineLevel="0" collapsed="false">
      <c r="A457" s="8" t="n">
        <v>40805</v>
      </c>
      <c r="B457" s="0" t="n">
        <v>35</v>
      </c>
      <c r="C457" s="9" t="n">
        <f aca="false">(B457-B456)/B456</f>
        <v>-0.0953734815197725</v>
      </c>
      <c r="D457" s="0" t="n">
        <v>41.25</v>
      </c>
      <c r="E457" s="9" t="n">
        <f aca="false">(D457-D456)/D456</f>
        <v>0.331504196255649</v>
      </c>
      <c r="F457" s="0" t="n">
        <v>113.54</v>
      </c>
      <c r="G457" s="9" t="n">
        <f aca="false">(F457-F456)/F456</f>
        <v>-0.0656682027649769</v>
      </c>
      <c r="H457" s="0" t="n">
        <f aca="false">AVERAGE(F443:F456)</f>
        <v>124.42</v>
      </c>
      <c r="I457" s="0" t="n">
        <f aca="false">AVERAGE(F450:F456)</f>
        <v>117.728571428571</v>
      </c>
      <c r="J457" s="0" t="n">
        <f aca="false">AVERAGE(F454:F456)</f>
        <v>118.43</v>
      </c>
      <c r="K457" s="10" t="n">
        <v>88.93</v>
      </c>
      <c r="L457" s="9" t="n">
        <f aca="false">(K457-K456)/K456</f>
        <v>0.0116027755659198</v>
      </c>
      <c r="M457" s="10" t="n">
        <v>114.98</v>
      </c>
      <c r="N457" s="9" t="n">
        <f aca="false">(M457-M456)/M456</f>
        <v>-0.00853669052341118</v>
      </c>
      <c r="O457" s="0" t="n">
        <v>1.58</v>
      </c>
      <c r="P457" s="9" t="n">
        <f aca="false">(O457-O456)/O456</f>
        <v>-0.0424242424242423</v>
      </c>
      <c r="Q457" s="10" t="n">
        <v>-0.73</v>
      </c>
      <c r="R457" s="9" t="n">
        <f aca="false">(Q457-Q456)/Q456</f>
        <v>-0.0135135135135135</v>
      </c>
      <c r="S457" s="10" t="n">
        <v>1.87</v>
      </c>
      <c r="T457" s="9" t="n">
        <f aca="false">(S457-S456)/S456</f>
        <v>-0.0788177339901476</v>
      </c>
      <c r="U457" s="13" t="n">
        <v>1.86</v>
      </c>
      <c r="V457" s="9" t="n">
        <f aca="false">(U457-U456)/U456</f>
        <v>-0.0792079207920793</v>
      </c>
      <c r="W457" s="0" t="n">
        <v>1.3791</v>
      </c>
      <c r="X457" s="23" t="n">
        <f aca="false">(W457-W456)/W456</f>
        <v>0.00936836712288657</v>
      </c>
      <c r="Y457" s="0" t="n">
        <v>1.2081</v>
      </c>
      <c r="Z457" s="24" t="n">
        <f aca="false">(Y457-Y456)/Y456</f>
        <v>0.00132615002072113</v>
      </c>
    </row>
    <row r="458" customFormat="false" ht="13.8" hidden="false" customHeight="false" outlineLevel="0" collapsed="false">
      <c r="A458" s="8" t="n">
        <v>40812</v>
      </c>
      <c r="B458" s="0" t="n">
        <v>35.34</v>
      </c>
      <c r="C458" s="9" t="n">
        <f aca="false">(B458-B457)/B457</f>
        <v>0.00971428571428581</v>
      </c>
      <c r="D458" s="0" t="n">
        <v>42.96</v>
      </c>
      <c r="E458" s="9" t="n">
        <f aca="false">(D458-D457)/D457</f>
        <v>0.0414545454545455</v>
      </c>
      <c r="F458" s="0" t="n">
        <v>113.15</v>
      </c>
      <c r="G458" s="9" t="n">
        <f aca="false">(F458-F457)/F457</f>
        <v>-0.00343491280605954</v>
      </c>
      <c r="H458" s="0" t="n">
        <f aca="false">AVERAGE(F444:F457)</f>
        <v>123.455</v>
      </c>
      <c r="I458" s="0" t="n">
        <f aca="false">AVERAGE(F451:F457)</f>
        <v>116.794285714286</v>
      </c>
      <c r="J458" s="0" t="n">
        <f aca="false">AVERAGE(F455:F457)</f>
        <v>116.993333333333</v>
      </c>
      <c r="K458" s="10" t="n">
        <v>83.65</v>
      </c>
      <c r="L458" s="9" t="n">
        <f aca="false">(K458-K457)/K457</f>
        <v>-0.0593725402001574</v>
      </c>
      <c r="M458" s="10" t="n">
        <v>111.98</v>
      </c>
      <c r="N458" s="9" t="n">
        <f aca="false">(M458-M457)/M457</f>
        <v>-0.0260914941728996</v>
      </c>
      <c r="O458" s="0" t="n">
        <v>1.53</v>
      </c>
      <c r="P458" s="9" t="n">
        <f aca="false">(O458-O457)/O457</f>
        <v>-0.0316455696202533</v>
      </c>
      <c r="Q458" s="10" t="n">
        <v>-0.57</v>
      </c>
      <c r="R458" s="9" t="n">
        <f aca="false">(Q458-Q457)/Q457</f>
        <v>-0.219178082191781</v>
      </c>
      <c r="S458" s="10" t="n">
        <v>1.97</v>
      </c>
      <c r="T458" s="9" t="n">
        <f aca="false">(S458-S457)/S457</f>
        <v>0.0534759358288769</v>
      </c>
      <c r="U458" s="13" t="n">
        <v>1.95</v>
      </c>
      <c r="V458" s="9" t="n">
        <f aca="false">(U458-U457)/U457</f>
        <v>0.0483870967741937</v>
      </c>
      <c r="W458" s="0" t="n">
        <v>1.3502</v>
      </c>
      <c r="X458" s="23" t="n">
        <f aca="false">(W458-W457)/W457</f>
        <v>-0.0209556957436008</v>
      </c>
      <c r="Y458" s="0" t="n">
        <v>1.2213</v>
      </c>
      <c r="Z458" s="24" t="n">
        <f aca="false">(Y458-Y457)/Y457</f>
        <v>0.0109262478271667</v>
      </c>
    </row>
    <row r="459" customFormat="false" ht="13.8" hidden="false" customHeight="false" outlineLevel="0" collapsed="false">
      <c r="A459" s="8" t="n">
        <v>40819</v>
      </c>
      <c r="B459" s="0" t="n">
        <v>35.56</v>
      </c>
      <c r="C459" s="9" t="n">
        <f aca="false">(B459-B458)/B458</f>
        <v>0.00622524052065645</v>
      </c>
      <c r="D459" s="0" t="n">
        <v>36.2</v>
      </c>
      <c r="E459" s="9" t="n">
        <f aca="false">(D459-D458)/D458</f>
        <v>-0.157355679702048</v>
      </c>
      <c r="F459" s="0" t="n">
        <v>115.71</v>
      </c>
      <c r="G459" s="9" t="n">
        <f aca="false">(F459-F458)/F458</f>
        <v>0.0226248342907644</v>
      </c>
      <c r="H459" s="0" t="n">
        <f aca="false">AVERAGE(F445:F458)</f>
        <v>122.479285714286</v>
      </c>
      <c r="I459" s="0" t="n">
        <f aca="false">AVERAGE(F452:F458)</f>
        <v>116.084285714286</v>
      </c>
      <c r="J459" s="0" t="n">
        <f aca="false">AVERAGE(F456:F458)</f>
        <v>116.07</v>
      </c>
      <c r="K459" s="10" t="n">
        <v>81.18</v>
      </c>
      <c r="L459" s="9" t="n">
        <f aca="false">(K459-K458)/K458</f>
        <v>-0.0295277943813508</v>
      </c>
      <c r="M459" s="10" t="n">
        <v>107.69</v>
      </c>
      <c r="N459" s="9" t="n">
        <f aca="false">(M459-M458)/M458</f>
        <v>-0.0383104125736739</v>
      </c>
      <c r="O459" s="0" t="n">
        <v>1.53</v>
      </c>
      <c r="P459" s="9" t="n">
        <f aca="false">(O459-O458)/O458</f>
        <v>0</v>
      </c>
      <c r="Q459" s="10" t="n">
        <v>-0.57</v>
      </c>
      <c r="R459" s="9" t="n">
        <f aca="false">(Q459-Q458)/Q458</f>
        <v>-0</v>
      </c>
      <c r="S459" s="10" t="n">
        <v>1.93</v>
      </c>
      <c r="T459" s="9" t="n">
        <f aca="false">(S459-S458)/S458</f>
        <v>-0.0203045685279187</v>
      </c>
      <c r="U459" s="13" t="n">
        <v>1.92</v>
      </c>
      <c r="V459" s="9" t="n">
        <f aca="false">(U459-U458)/U458</f>
        <v>-0.0153846153846155</v>
      </c>
      <c r="W459" s="0" t="n">
        <v>1.3395</v>
      </c>
      <c r="X459" s="23" t="n">
        <f aca="false">(W459-W458)/W458</f>
        <v>-0.00792475188860921</v>
      </c>
      <c r="Y459" s="0" t="n">
        <v>1.2142</v>
      </c>
      <c r="Z459" s="24" t="n">
        <f aca="false">(Y459-Y458)/Y458</f>
        <v>-0.00581347744207001</v>
      </c>
    </row>
    <row r="460" customFormat="false" ht="13.8" hidden="false" customHeight="false" outlineLevel="0" collapsed="false">
      <c r="A460" s="8" t="n">
        <v>40826</v>
      </c>
      <c r="B460" s="0" t="n">
        <v>38</v>
      </c>
      <c r="C460" s="9" t="n">
        <f aca="false">(B460-B459)/B459</f>
        <v>0.0686164229471315</v>
      </c>
      <c r="D460" s="0" t="n">
        <v>28.24</v>
      </c>
      <c r="E460" s="9" t="n">
        <f aca="false">(D460-D459)/D459</f>
        <v>-0.219889502762431</v>
      </c>
      <c r="F460" s="0" t="n">
        <v>122.57</v>
      </c>
      <c r="G460" s="9" t="n">
        <f aca="false">(F460-F459)/F459</f>
        <v>0.059286146400484</v>
      </c>
      <c r="H460" s="0" t="n">
        <f aca="false">AVERAGE(F446:F459)</f>
        <v>121.178571428571</v>
      </c>
      <c r="I460" s="0" t="n">
        <f aca="false">AVERAGE(F453:F459)</f>
        <v>116.522857142857</v>
      </c>
      <c r="J460" s="0" t="n">
        <f aca="false">AVERAGE(F457:F459)</f>
        <v>114.133333333333</v>
      </c>
      <c r="K460" s="10" t="n">
        <v>79.43</v>
      </c>
      <c r="L460" s="9" t="n">
        <f aca="false">(K460-K459)/K459</f>
        <v>-0.0215570337521557</v>
      </c>
      <c r="M460" s="10" t="n">
        <v>104.03</v>
      </c>
      <c r="N460" s="9" t="n">
        <f aca="false">(M460-M459)/M459</f>
        <v>-0.0339864425666264</v>
      </c>
      <c r="O460" s="0" t="n">
        <v>1.65</v>
      </c>
      <c r="P460" s="9" t="n">
        <f aca="false">(O460-O459)/O459</f>
        <v>0.0784313725490197</v>
      </c>
      <c r="Q460" s="10" t="n">
        <v>-0.51</v>
      </c>
      <c r="R460" s="9" t="n">
        <f aca="false">(Q460-Q459)/Q459</f>
        <v>-0.105263157894737</v>
      </c>
      <c r="S460" s="10" t="n">
        <v>2.22</v>
      </c>
      <c r="T460" s="9" t="n">
        <f aca="false">(S460-S459)/S459</f>
        <v>0.150259067357513</v>
      </c>
      <c r="U460" s="13" t="n">
        <v>2.2</v>
      </c>
      <c r="V460" s="9" t="n">
        <f aca="false">(U460-U459)/U459</f>
        <v>0.145833333333333</v>
      </c>
      <c r="W460" s="0" t="n">
        <v>1.3395</v>
      </c>
      <c r="X460" s="23" t="n">
        <f aca="false">(W460-W459)/W459</f>
        <v>0</v>
      </c>
      <c r="Y460" s="0" t="n">
        <v>1.2404</v>
      </c>
      <c r="Z460" s="24" t="n">
        <f aca="false">(Y460-Y459)/Y459</f>
        <v>0.0215779937407346</v>
      </c>
    </row>
    <row r="461" customFormat="false" ht="13.8" hidden="false" customHeight="false" outlineLevel="0" collapsed="false">
      <c r="A461" s="8" t="n">
        <v>40833</v>
      </c>
      <c r="B461" s="0" t="n">
        <v>38.91</v>
      </c>
      <c r="C461" s="9" t="n">
        <f aca="false">(B461-B460)/B460</f>
        <v>0.0239473684210525</v>
      </c>
      <c r="D461" s="0" t="n">
        <v>31.32</v>
      </c>
      <c r="E461" s="9" t="n">
        <f aca="false">(D461-D460)/D460</f>
        <v>0.109065155807365</v>
      </c>
      <c r="F461" s="0" t="n">
        <v>123.97</v>
      </c>
      <c r="G461" s="9" t="n">
        <f aca="false">(F461-F460)/F460</f>
        <v>0.0114220445459738</v>
      </c>
      <c r="H461" s="0" t="n">
        <f aca="false">AVERAGE(F447:F460)</f>
        <v>120.333571428571</v>
      </c>
      <c r="I461" s="0" t="n">
        <f aca="false">AVERAGE(F454:F460)</f>
        <v>117.18</v>
      </c>
      <c r="J461" s="0" t="n">
        <f aca="false">AVERAGE(F458:F460)</f>
        <v>117.143333333333</v>
      </c>
      <c r="K461" s="10" t="n">
        <v>85.35</v>
      </c>
      <c r="L461" s="9" t="n">
        <f aca="false">(K461-K460)/K460</f>
        <v>0.0745310336145032</v>
      </c>
      <c r="M461" s="10" t="n">
        <v>111.59</v>
      </c>
      <c r="N461" s="9" t="n">
        <f aca="false">(M461-M460)/M460</f>
        <v>0.0726713448043834</v>
      </c>
      <c r="O461" s="0" t="n">
        <v>1.71</v>
      </c>
      <c r="P461" s="9" t="n">
        <f aca="false">(O461-O460)/O460</f>
        <v>0.0363636363636364</v>
      </c>
      <c r="Q461" s="10" t="n">
        <v>-0.64</v>
      </c>
      <c r="R461" s="9" t="n">
        <f aca="false">(Q461-Q460)/Q460</f>
        <v>0.254901960784314</v>
      </c>
      <c r="S461" s="10" t="n">
        <v>2.2</v>
      </c>
      <c r="T461" s="9" t="n">
        <f aca="false">(S461-S460)/S460</f>
        <v>-0.00900900900900902</v>
      </c>
      <c r="U461" s="13" t="n">
        <v>2.17</v>
      </c>
      <c r="V461" s="9" t="n">
        <f aca="false">(U461-U460)/U460</f>
        <v>-0.0136363636363635</v>
      </c>
      <c r="W461" s="0" t="n">
        <v>1.3875</v>
      </c>
      <c r="X461" s="23" t="n">
        <f aca="false">(W461-W460)/W460</f>
        <v>0.0358342665173573</v>
      </c>
      <c r="Y461" s="0" t="n">
        <v>1.239</v>
      </c>
      <c r="Z461" s="24" t="n">
        <f aca="false">(Y461-Y460)/Y460</f>
        <v>-0.00112866817155744</v>
      </c>
    </row>
    <row r="462" customFormat="false" ht="13.8" hidden="false" customHeight="false" outlineLevel="0" collapsed="false">
      <c r="A462" s="8" t="n">
        <v>40840</v>
      </c>
      <c r="B462" s="0" t="n">
        <v>41.82</v>
      </c>
      <c r="C462" s="9" t="n">
        <f aca="false">(B462-B461)/B461</f>
        <v>0.0747879722436393</v>
      </c>
      <c r="D462" s="0" t="n">
        <v>24.53</v>
      </c>
      <c r="E462" s="9" t="n">
        <f aca="false">(D462-D461)/D461</f>
        <v>-0.216794380587484</v>
      </c>
      <c r="F462" s="0" t="n">
        <v>128.6</v>
      </c>
      <c r="G462" s="9" t="n">
        <f aca="false">(F462-F461)/F461</f>
        <v>0.0373477454222795</v>
      </c>
      <c r="H462" s="0" t="n">
        <f aca="false">AVERAGE(F448:F461)</f>
        <v>119.782142857143</v>
      </c>
      <c r="I462" s="0" t="n">
        <f aca="false">AVERAGE(F455:F461)</f>
        <v>118.054285714286</v>
      </c>
      <c r="J462" s="0" t="n">
        <f aca="false">AVERAGE(F459:F461)</f>
        <v>120.75</v>
      </c>
      <c r="K462" s="10" t="n">
        <v>86.82</v>
      </c>
      <c r="L462" s="9" t="n">
        <f aca="false">(K462-K461)/K461</f>
        <v>0.0172231985940246</v>
      </c>
      <c r="M462" s="10" t="n">
        <v>111.47</v>
      </c>
      <c r="N462" s="9" t="n">
        <f aca="false">(M462-M461)/M461</f>
        <v>-0.00107536517609109</v>
      </c>
      <c r="O462" s="0" t="n">
        <v>1.85</v>
      </c>
      <c r="P462" s="9" t="n">
        <f aca="false">(O462-O461)/O461</f>
        <v>0.0818713450292398</v>
      </c>
      <c r="Q462" s="10" t="n">
        <v>-0.74</v>
      </c>
      <c r="R462" s="9" t="n">
        <f aca="false">(Q462-Q461)/Q461</f>
        <v>0.15625</v>
      </c>
      <c r="S462" s="10" t="n">
        <v>2.28</v>
      </c>
      <c r="T462" s="9" t="n">
        <f aca="false">(S462-S461)/S461</f>
        <v>0.0363636363636362</v>
      </c>
      <c r="U462" s="13" t="n">
        <v>2.26</v>
      </c>
      <c r="V462" s="9" t="n">
        <f aca="false">(U462-U461)/U461</f>
        <v>0.0414746543778799</v>
      </c>
      <c r="W462" s="0" t="n">
        <v>1.3869</v>
      </c>
      <c r="X462" s="23" t="n">
        <f aca="false">(W462-W461)/W461</f>
        <v>-0.000432432432432385</v>
      </c>
      <c r="Y462" s="0" t="n">
        <v>1.2244</v>
      </c>
      <c r="Z462" s="24" t="n">
        <f aca="false">(Y462-Y461)/Y461</f>
        <v>-0.0117836965294594</v>
      </c>
    </row>
    <row r="463" customFormat="false" ht="13.8" hidden="false" customHeight="false" outlineLevel="0" collapsed="false">
      <c r="A463" s="8" t="n">
        <v>40847</v>
      </c>
      <c r="B463" s="0" t="n">
        <v>39.5</v>
      </c>
      <c r="C463" s="9" t="n">
        <f aca="false">(B463-B462)/B462</f>
        <v>-0.0554758488761358</v>
      </c>
      <c r="D463" s="0" t="n">
        <v>30.16</v>
      </c>
      <c r="E463" s="9" t="n">
        <f aca="false">(D463-D462)/D462</f>
        <v>0.229514879739095</v>
      </c>
      <c r="F463" s="0" t="n">
        <v>125.48</v>
      </c>
      <c r="G463" s="9" t="n">
        <f aca="false">(F463-F462)/F462</f>
        <v>-0.0242612752721617</v>
      </c>
      <c r="H463" s="0" t="n">
        <f aca="false">AVERAGE(F449:F462)</f>
        <v>119.355</v>
      </c>
      <c r="I463" s="0" t="n">
        <f aca="false">AVERAGE(F456:F462)</f>
        <v>119.865714285714</v>
      </c>
      <c r="J463" s="0" t="n">
        <f aca="false">AVERAGE(F460:F462)</f>
        <v>125.046666666667</v>
      </c>
      <c r="K463" s="10" t="n">
        <v>92.32</v>
      </c>
      <c r="L463" s="9" t="n">
        <f aca="false">(K463-K462)/K462</f>
        <v>0.0633494586500806</v>
      </c>
      <c r="M463" s="10" t="n">
        <v>111.33</v>
      </c>
      <c r="N463" s="9" t="n">
        <f aca="false">(M463-M462)/M462</f>
        <v>-0.00125594330313089</v>
      </c>
      <c r="O463" s="0" t="n">
        <v>1.89</v>
      </c>
      <c r="P463" s="9" t="n">
        <f aca="false">(O463-O462)/O462</f>
        <v>0.0216216216216216</v>
      </c>
      <c r="Q463" s="10" t="n">
        <v>-0.98</v>
      </c>
      <c r="R463" s="9" t="n">
        <f aca="false">(Q463-Q462)/Q462</f>
        <v>0.324324324324324</v>
      </c>
      <c r="S463" s="10" t="n">
        <v>2.07</v>
      </c>
      <c r="T463" s="9" t="n">
        <f aca="false">(S463-S462)/S462</f>
        <v>-0.0921052631578947</v>
      </c>
      <c r="U463" s="13" t="n">
        <v>2.06</v>
      </c>
      <c r="V463" s="9" t="n">
        <f aca="false">(U463-U462)/U462</f>
        <v>-0.0884955752212388</v>
      </c>
      <c r="W463" s="0" t="n">
        <v>1.4165</v>
      </c>
      <c r="X463" s="23" t="n">
        <f aca="false">(W463-W462)/W462</f>
        <v>0.021342562549571</v>
      </c>
      <c r="Y463" s="0" t="n">
        <v>1.2207</v>
      </c>
      <c r="Z463" s="24" t="n">
        <f aca="false">(Y463-Y462)/Y462</f>
        <v>-0.00302188827180663</v>
      </c>
    </row>
    <row r="464" customFormat="false" ht="13.8" hidden="false" customHeight="false" outlineLevel="0" collapsed="false">
      <c r="A464" s="8" t="n">
        <v>40854</v>
      </c>
      <c r="B464" s="0" t="n">
        <v>39.54</v>
      </c>
      <c r="C464" s="9" t="n">
        <f aca="false">(B464-B463)/B463</f>
        <v>0.00101265822784808</v>
      </c>
      <c r="D464" s="0" t="n">
        <v>30.04</v>
      </c>
      <c r="E464" s="9" t="n">
        <f aca="false">(D464-D463)/D463</f>
        <v>-0.00397877984084884</v>
      </c>
      <c r="F464" s="0" t="n">
        <v>126.66</v>
      </c>
      <c r="G464" s="9" t="n">
        <f aca="false">(F464-F463)/F463</f>
        <v>0.00940388906598655</v>
      </c>
      <c r="H464" s="0" t="n">
        <f aca="false">AVERAGE(F450:F463)</f>
        <v>119.08</v>
      </c>
      <c r="I464" s="0" t="n">
        <f aca="false">AVERAGE(F457:F463)</f>
        <v>120.431428571429</v>
      </c>
      <c r="J464" s="0" t="n">
        <f aca="false">AVERAGE(F461:F463)</f>
        <v>126.016666666667</v>
      </c>
      <c r="K464" s="10" t="n">
        <v>93.24</v>
      </c>
      <c r="L464" s="9" t="n">
        <f aca="false">(K464-K463)/K463</f>
        <v>0.00996533795493936</v>
      </c>
      <c r="M464" s="10" t="n">
        <v>109.84</v>
      </c>
      <c r="N464" s="9" t="n">
        <f aca="false">(M464-M463)/M463</f>
        <v>-0.0133836342405461</v>
      </c>
      <c r="O464" s="0" t="n">
        <v>1.9</v>
      </c>
      <c r="P464" s="9" t="n">
        <f aca="false">(O464-O463)/O463</f>
        <v>0.00529100529100518</v>
      </c>
      <c r="Q464" s="10" t="n">
        <v>-1</v>
      </c>
      <c r="R464" s="9" t="n">
        <f aca="false">(Q464-Q463)/Q463</f>
        <v>0.0204081632653061</v>
      </c>
      <c r="S464" s="10" t="n">
        <v>2.05</v>
      </c>
      <c r="T464" s="9" t="n">
        <f aca="false">(S464-S463)/S463</f>
        <v>-0.00966183574879228</v>
      </c>
      <c r="U464" s="13" t="n">
        <v>2.04</v>
      </c>
      <c r="V464" s="9" t="n">
        <f aca="false">(U464-U463)/U463</f>
        <v>-0.00970873786407768</v>
      </c>
      <c r="W464" s="0" t="n">
        <v>1.3769</v>
      </c>
      <c r="X464" s="23" t="n">
        <f aca="false">(W464-W463)/W463</f>
        <v>-0.027956230144723</v>
      </c>
      <c r="Y464" s="0" t="n">
        <v>1.2205</v>
      </c>
      <c r="Z464" s="24" t="n">
        <f aca="false">(Y464-Y463)/Y463</f>
        <v>-0.000163840419431456</v>
      </c>
    </row>
    <row r="465" customFormat="false" ht="13.8" hidden="false" customHeight="false" outlineLevel="0" collapsed="false">
      <c r="A465" s="8" t="n">
        <v>40861</v>
      </c>
      <c r="B465" s="0" t="n">
        <v>37.52</v>
      </c>
      <c r="C465" s="9" t="n">
        <f aca="false">(B465-B464)/B464</f>
        <v>-0.0510875063227111</v>
      </c>
      <c r="D465" s="0" t="n">
        <v>32</v>
      </c>
      <c r="E465" s="9" t="n">
        <f aca="false">(D465-D464)/D464</f>
        <v>0.0652463382157124</v>
      </c>
      <c r="F465" s="0" t="n">
        <v>121.98</v>
      </c>
      <c r="G465" s="9" t="n">
        <f aca="false">(F465-F464)/F464</f>
        <v>-0.0369493131217432</v>
      </c>
      <c r="H465" s="0" t="n">
        <f aca="false">AVERAGE(F451:F464)</f>
        <v>119.55</v>
      </c>
      <c r="I465" s="0" t="n">
        <f aca="false">AVERAGE(F458:F464)</f>
        <v>122.305714285714</v>
      </c>
      <c r="J465" s="0" t="n">
        <f aca="false">AVERAGE(F462:F464)</f>
        <v>126.913333333333</v>
      </c>
      <c r="K465" s="10" t="n">
        <v>96.97</v>
      </c>
      <c r="L465" s="9" t="n">
        <f aca="false">(K465-K464)/K464</f>
        <v>0.0400042900042901</v>
      </c>
      <c r="M465" s="10" t="n">
        <v>114.68</v>
      </c>
      <c r="N465" s="9" t="n">
        <f aca="false">(M465-M464)/M464</f>
        <v>0.0440640932265113</v>
      </c>
      <c r="O465" s="0" t="n">
        <v>1.7</v>
      </c>
      <c r="P465" s="9" t="n">
        <f aca="false">(O465-O464)/O464</f>
        <v>-0.105263157894737</v>
      </c>
      <c r="Q465" s="10" t="n">
        <v>-0.79</v>
      </c>
      <c r="R465" s="9" t="n">
        <f aca="false">(Q465-Q464)/Q464</f>
        <v>-0.21</v>
      </c>
      <c r="S465" s="10" t="n">
        <v>2.02</v>
      </c>
      <c r="T465" s="9" t="n">
        <f aca="false">(S465-S464)/S464</f>
        <v>-0.0146341463414633</v>
      </c>
      <c r="U465" s="13" t="n">
        <v>2.01</v>
      </c>
      <c r="V465" s="9" t="n">
        <f aca="false">(U465-U464)/U464</f>
        <v>-0.0147058823529411</v>
      </c>
      <c r="W465" s="0" t="n">
        <v>1.3746</v>
      </c>
      <c r="X465" s="23" t="n">
        <f aca="false">(W465-W464)/W464</f>
        <v>-0.00167041905730261</v>
      </c>
      <c r="Y465" s="0" t="n">
        <v>1.2392</v>
      </c>
      <c r="Z465" s="24" t="n">
        <f aca="false">(Y465-Y464)/Y464</f>
        <v>0.015321589512495</v>
      </c>
    </row>
    <row r="466" customFormat="false" ht="13.8" hidden="false" customHeight="false" outlineLevel="0" collapsed="false">
      <c r="A466" s="8" t="n">
        <v>40868</v>
      </c>
      <c r="B466" s="0" t="n">
        <v>34.9</v>
      </c>
      <c r="C466" s="9" t="n">
        <f aca="false">(B466-B465)/B465</f>
        <v>-0.0698294243070364</v>
      </c>
      <c r="D466" s="0" t="n">
        <v>34.47</v>
      </c>
      <c r="E466" s="9" t="n">
        <f aca="false">(D466-D465)/D465</f>
        <v>0.0771875</v>
      </c>
      <c r="F466" s="0" t="n">
        <v>116.34</v>
      </c>
      <c r="G466" s="9" t="n">
        <f aca="false">(F466-F465)/F465</f>
        <v>-0.0462370880472209</v>
      </c>
      <c r="H466" s="0" t="n">
        <f aca="false">AVERAGE(F452:F465)</f>
        <v>119.825714285714</v>
      </c>
      <c r="I466" s="0" t="n">
        <f aca="false">AVERAGE(F459:F465)</f>
        <v>123.567142857143</v>
      </c>
      <c r="J466" s="0" t="n">
        <f aca="false">AVERAGE(F463:F465)</f>
        <v>124.706666666667</v>
      </c>
      <c r="K466" s="10" t="n">
        <v>99.32</v>
      </c>
      <c r="L466" s="9" t="n">
        <f aca="false">(K466-K465)/K465</f>
        <v>0.0242342992678147</v>
      </c>
      <c r="M466" s="10" t="n">
        <v>110.69</v>
      </c>
      <c r="N466" s="9" t="n">
        <f aca="false">(M466-M465)/M465</f>
        <v>-0.0347924659923265</v>
      </c>
      <c r="O466" s="0" t="n">
        <v>1.61</v>
      </c>
      <c r="P466" s="9" t="n">
        <f aca="false">(O466-O465)/O465</f>
        <v>-0.0529411764705884</v>
      </c>
      <c r="Q466" s="10" t="n">
        <v>-0.7</v>
      </c>
      <c r="R466" s="9" t="n">
        <f aca="false">(Q466-Q465)/Q465</f>
        <v>-0.113924050632911</v>
      </c>
      <c r="S466" s="10" t="n">
        <v>1.94</v>
      </c>
      <c r="T466" s="9" t="n">
        <f aca="false">(S466-S465)/S465</f>
        <v>-0.0396039603960396</v>
      </c>
      <c r="U466" s="13" t="n">
        <v>1.92</v>
      </c>
      <c r="V466" s="9" t="n">
        <f aca="false">(U466-U465)/U465</f>
        <v>-0.0447761194029852</v>
      </c>
      <c r="W466" s="0" t="n">
        <v>1.3517</v>
      </c>
      <c r="X466" s="23" t="n">
        <f aca="false">(W466-W465)/W465</f>
        <v>-0.0166593918230759</v>
      </c>
      <c r="Y466" s="0" t="n">
        <v>1.2398</v>
      </c>
      <c r="Z466" s="24" t="n">
        <f aca="false">(Y466-Y465)/Y465</f>
        <v>0.00048418334409291</v>
      </c>
    </row>
    <row r="467" customFormat="false" ht="13.8" hidden="false" customHeight="false" outlineLevel="0" collapsed="false">
      <c r="A467" s="8" t="n">
        <v>40875</v>
      </c>
      <c r="B467" s="0" t="n">
        <v>38.59</v>
      </c>
      <c r="C467" s="9" t="n">
        <f aca="false">(B467-B466)/B466</f>
        <v>0.105730659025788</v>
      </c>
      <c r="D467" s="0" t="n">
        <v>27.52</v>
      </c>
      <c r="E467" s="9" t="n">
        <f aca="false">(D467-D466)/D466</f>
        <v>-0.201624601102408</v>
      </c>
      <c r="F467" s="0" t="n">
        <v>124.86</v>
      </c>
      <c r="G467" s="9" t="n">
        <f aca="false">(F467-F466)/F466</f>
        <v>0.0732336255801959</v>
      </c>
      <c r="H467" s="0" t="n">
        <f aca="false">AVERAGE(F453:F466)</f>
        <v>120.09</v>
      </c>
      <c r="I467" s="0" t="n">
        <f aca="false">AVERAGE(F460:F466)</f>
        <v>123.657142857143</v>
      </c>
      <c r="J467" s="0" t="n">
        <f aca="false">AVERAGE(F464:F466)</f>
        <v>121.66</v>
      </c>
      <c r="K467" s="10" t="n">
        <v>96.89</v>
      </c>
      <c r="L467" s="9" t="n">
        <f aca="false">(K467-K466)/K466</f>
        <v>-0.02446637132501</v>
      </c>
      <c r="M467" s="10" t="n">
        <v>106.67</v>
      </c>
      <c r="N467" s="9" t="n">
        <f aca="false">(M467-M466)/M466</f>
        <v>-0.0363176438702683</v>
      </c>
      <c r="O467" s="0" t="n">
        <v>1.73</v>
      </c>
      <c r="P467" s="9" t="n">
        <f aca="false">(O467-O466)/O466</f>
        <v>0.0745341614906833</v>
      </c>
      <c r="Q467" s="10" t="n">
        <v>-0.79</v>
      </c>
      <c r="R467" s="9" t="n">
        <f aca="false">(Q467-Q466)/Q466</f>
        <v>0.128571428571429</v>
      </c>
      <c r="S467" s="10" t="n">
        <v>2.04</v>
      </c>
      <c r="T467" s="9" t="n">
        <f aca="false">(S467-S466)/S466</f>
        <v>0.0515463917525774</v>
      </c>
      <c r="U467" s="13" t="n">
        <v>2.02</v>
      </c>
      <c r="V467" s="9" t="n">
        <f aca="false">(U467-U466)/U466</f>
        <v>0.0520833333333334</v>
      </c>
      <c r="W467" s="0" t="n">
        <v>1.3233</v>
      </c>
      <c r="X467" s="23" t="n">
        <f aca="false">(W467-W466)/W466</f>
        <v>-0.0210105792705482</v>
      </c>
      <c r="Y467" s="0" t="n">
        <v>1.2295</v>
      </c>
      <c r="Z467" s="24" t="n">
        <f aca="false">(Y467-Y466)/Y466</f>
        <v>-0.00830779157928696</v>
      </c>
    </row>
    <row r="468" customFormat="false" ht="13.8" hidden="false" customHeight="false" outlineLevel="0" collapsed="false">
      <c r="A468" s="8" t="n">
        <v>40882</v>
      </c>
      <c r="B468" s="0" t="n">
        <v>39.13</v>
      </c>
      <c r="C468" s="9" t="n">
        <f aca="false">(B468-B467)/B467</f>
        <v>0.0139932625032392</v>
      </c>
      <c r="D468" s="0" t="n">
        <v>26.38</v>
      </c>
      <c r="E468" s="9" t="n">
        <f aca="false">(D468-D467)/D467</f>
        <v>-0.0414244186046512</v>
      </c>
      <c r="F468" s="0" t="n">
        <v>126.05</v>
      </c>
      <c r="G468" s="9" t="n">
        <f aca="false">(F468-F467)/F467</f>
        <v>0.00953067435527789</v>
      </c>
      <c r="H468" s="0" t="n">
        <f aca="false">AVERAGE(F454:F467)</f>
        <v>120.582142857143</v>
      </c>
      <c r="I468" s="0" t="n">
        <f aca="false">AVERAGE(F461:F467)</f>
        <v>123.984285714286</v>
      </c>
      <c r="J468" s="0" t="n">
        <f aca="false">AVERAGE(F465:F467)</f>
        <v>121.06</v>
      </c>
      <c r="K468" s="10" t="n">
        <v>99.91</v>
      </c>
      <c r="L468" s="9" t="n">
        <f aca="false">(K468-K467)/K467</f>
        <v>0.0311693673237692</v>
      </c>
      <c r="M468" s="10" t="n">
        <v>110.05</v>
      </c>
      <c r="N468" s="9" t="n">
        <f aca="false">(M468-M467)/M467</f>
        <v>0.0316865097965688</v>
      </c>
      <c r="O468" s="0" t="n">
        <v>1.72</v>
      </c>
      <c r="P468" s="9" t="n">
        <f aca="false">(O468-O467)/O467</f>
        <v>-0.00578034682080925</v>
      </c>
      <c r="Q468" s="10" t="n">
        <v>-0.82</v>
      </c>
      <c r="R468" s="9" t="n">
        <f aca="false">(Q468-Q467)/Q467</f>
        <v>0.0379746835443038</v>
      </c>
      <c r="S468" s="10" t="n">
        <v>2.04</v>
      </c>
      <c r="T468" s="9" t="n">
        <f aca="false">(S468-S467)/S467</f>
        <v>0</v>
      </c>
      <c r="U468" s="13" t="n">
        <v>2.03</v>
      </c>
      <c r="V468" s="9" t="n">
        <f aca="false">(U468-U467)/U467</f>
        <v>0.00495049504950507</v>
      </c>
      <c r="W468" s="0" t="n">
        <v>1.3402</v>
      </c>
      <c r="X468" s="23" t="n">
        <f aca="false">(W468-W467)/W467</f>
        <v>0.0127711025466637</v>
      </c>
      <c r="Y468" s="0" t="n">
        <v>1.2336</v>
      </c>
      <c r="Z468" s="24" t="n">
        <f aca="false">(Y468-Y467)/Y467</f>
        <v>0.00333468889792598</v>
      </c>
    </row>
    <row r="469" customFormat="false" ht="13.8" hidden="false" customHeight="false" outlineLevel="0" collapsed="false">
      <c r="A469" s="8" t="n">
        <v>40889</v>
      </c>
      <c r="B469" s="0" t="n">
        <v>37.71</v>
      </c>
      <c r="C469" s="9" t="n">
        <f aca="false">(B469-B468)/B468</f>
        <v>-0.0362892921032456</v>
      </c>
      <c r="D469" s="0" t="n">
        <v>24.29</v>
      </c>
      <c r="E469" s="9" t="n">
        <f aca="false">(D469-D468)/D468</f>
        <v>-0.079226686884003</v>
      </c>
      <c r="F469" s="0" t="n">
        <v>121.59</v>
      </c>
      <c r="G469" s="9" t="n">
        <f aca="false">(F469-F468)/F468</f>
        <v>-0.035382784609282</v>
      </c>
      <c r="H469" s="0" t="n">
        <f aca="false">AVERAGE(F455:F468)</f>
        <v>121.167857142857</v>
      </c>
      <c r="I469" s="0" t="n">
        <f aca="false">AVERAGE(F462:F468)</f>
        <v>124.281428571429</v>
      </c>
      <c r="J469" s="0" t="n">
        <f aca="false">AVERAGE(F466:F468)</f>
        <v>122.416666666667</v>
      </c>
      <c r="K469" s="10" t="n">
        <v>100.08</v>
      </c>
      <c r="L469" s="9" t="n">
        <f aca="false">(K469-K468)/K468</f>
        <v>0.00170153137824043</v>
      </c>
      <c r="M469" s="10" t="n">
        <v>109.31</v>
      </c>
      <c r="N469" s="9" t="n">
        <f aca="false">(M469-M468)/M468</f>
        <v>-0.00672421626533389</v>
      </c>
      <c r="O469" s="0" t="n">
        <v>1.62</v>
      </c>
      <c r="P469" s="9" t="n">
        <f aca="false">(O469-O468)/O468</f>
        <v>-0.0581395348837209</v>
      </c>
      <c r="Q469" s="10" t="n">
        <v>-0.77</v>
      </c>
      <c r="R469" s="9" t="n">
        <f aca="false">(Q469-Q468)/Q468</f>
        <v>-0.0609756097560976</v>
      </c>
      <c r="S469" s="10" t="n">
        <v>1.94</v>
      </c>
      <c r="T469" s="9" t="n">
        <f aca="false">(S469-S468)/S468</f>
        <v>-0.0490196078431373</v>
      </c>
      <c r="U469" s="13" t="n">
        <v>1.93</v>
      </c>
      <c r="V469" s="9" t="n">
        <f aca="false">(U469-U468)/U468</f>
        <v>-0.0492610837438424</v>
      </c>
      <c r="W469" s="0" t="n">
        <v>1.337</v>
      </c>
      <c r="X469" s="23" t="n">
        <f aca="false">(W469-W468)/W468</f>
        <v>-0.00238770332786158</v>
      </c>
      <c r="Y469" s="0" t="n">
        <v>1.2355</v>
      </c>
      <c r="Z469" s="24" t="n">
        <f aca="false">(Y469-Y468)/Y468</f>
        <v>0.00154020752269781</v>
      </c>
    </row>
    <row r="470" customFormat="false" ht="13.8" hidden="false" customHeight="false" outlineLevel="0" collapsed="false">
      <c r="A470" s="8" t="n">
        <v>40896</v>
      </c>
      <c r="B470" s="0" t="n">
        <v>39.94</v>
      </c>
      <c r="C470" s="9" t="n">
        <f aca="false">(B470-B469)/B469</f>
        <v>0.0591355078228586</v>
      </c>
      <c r="D470" s="0" t="n">
        <v>20.73</v>
      </c>
      <c r="E470" s="9" t="n">
        <f aca="false">(D470-D469)/D469</f>
        <v>-0.146562371346233</v>
      </c>
      <c r="F470" s="0" t="n">
        <v>126.39</v>
      </c>
      <c r="G470" s="9" t="n">
        <f aca="false">(F470-F469)/F469</f>
        <v>0.0394769306686405</v>
      </c>
      <c r="H470" s="0" t="n">
        <f aca="false">AVERAGE(F456:F469)</f>
        <v>121.572857142857</v>
      </c>
      <c r="I470" s="0" t="n">
        <f aca="false">AVERAGE(F463:F469)</f>
        <v>123.28</v>
      </c>
      <c r="J470" s="0" t="n">
        <f aca="false">AVERAGE(F467:F469)</f>
        <v>124.166666666667</v>
      </c>
      <c r="K470" s="10" t="n">
        <v>96.06</v>
      </c>
      <c r="L470" s="9" t="n">
        <f aca="false">(K470-K469)/K469</f>
        <v>-0.040167865707434</v>
      </c>
      <c r="M470" s="10" t="n">
        <v>106.26</v>
      </c>
      <c r="N470" s="9" t="n">
        <f aca="false">(M470-M469)/M469</f>
        <v>-0.0279022962217546</v>
      </c>
      <c r="O470" s="0" t="n">
        <v>1.68</v>
      </c>
      <c r="P470" s="9" t="n">
        <f aca="false">(O470-O469)/O469</f>
        <v>0.0370370370370371</v>
      </c>
      <c r="Q470" s="10" t="n">
        <v>-0.78</v>
      </c>
      <c r="R470" s="9" t="n">
        <f aca="false">(Q470-Q469)/Q469</f>
        <v>0.012987012987013</v>
      </c>
      <c r="S470" s="10" t="n">
        <v>1.95</v>
      </c>
      <c r="T470" s="9" t="n">
        <f aca="false">(S470-S469)/S469</f>
        <v>0.00515463917525785</v>
      </c>
      <c r="U470" s="13" t="n">
        <v>1.94</v>
      </c>
      <c r="V470" s="9" t="n">
        <f aca="false">(U470-U469)/U469</f>
        <v>0.00518134715025896</v>
      </c>
      <c r="W470" s="0" t="n">
        <v>1.3034</v>
      </c>
      <c r="X470" s="23" t="n">
        <f aca="false">(W470-W469)/W469</f>
        <v>-0.0251308900523561</v>
      </c>
      <c r="Y470" s="0" t="n">
        <v>1.2207</v>
      </c>
      <c r="Z470" s="24" t="n">
        <f aca="false">(Y470-Y469)/Y469</f>
        <v>-0.0119789558883044</v>
      </c>
    </row>
    <row r="471" customFormat="false" ht="13.8" hidden="false" customHeight="false" outlineLevel="0" collapsed="false">
      <c r="A471" s="8" t="n">
        <v>40904</v>
      </c>
      <c r="B471" s="0" t="n">
        <v>39.38</v>
      </c>
      <c r="C471" s="9" t="n">
        <f aca="false">(B471-B470)/B470</f>
        <v>-0.0140210315473209</v>
      </c>
      <c r="D471" s="0" t="n">
        <v>23.4</v>
      </c>
      <c r="E471" s="9" t="n">
        <f aca="false">(D471-D470)/D470</f>
        <v>0.128798842257598</v>
      </c>
      <c r="F471" s="0" t="n">
        <v>125.5</v>
      </c>
      <c r="G471" s="9" t="n">
        <f aca="false">(F471-F470)/F470</f>
        <v>-0.00704169633673551</v>
      </c>
      <c r="H471" s="0" t="n">
        <f aca="false">AVERAGE(F457:F470)</f>
        <v>121.920714285714</v>
      </c>
      <c r="I471" s="0" t="n">
        <f aca="false">AVERAGE(F464:F470)</f>
        <v>123.41</v>
      </c>
      <c r="J471" s="0" t="n">
        <f aca="false">AVERAGE(F468:F470)</f>
        <v>124.676666666667</v>
      </c>
      <c r="K471" s="10" t="n">
        <v>97.74</v>
      </c>
      <c r="L471" s="9" t="n">
        <f aca="false">(K471-K470)/K470</f>
        <v>0.0174890693316676</v>
      </c>
      <c r="M471" s="10" t="n">
        <v>107.72</v>
      </c>
      <c r="N471" s="9" t="n">
        <f aca="false">(M471-M470)/M470</f>
        <v>0.0137398833051006</v>
      </c>
      <c r="O471" s="0" t="n">
        <v>1.63</v>
      </c>
      <c r="P471" s="9" t="n">
        <f aca="false">(O471-O470)/O470</f>
        <v>-0.0297619047619049</v>
      </c>
      <c r="Q471" s="10" t="n">
        <v>-0.73</v>
      </c>
      <c r="R471" s="9" t="n">
        <f aca="false">(Q471-Q470)/Q470</f>
        <v>-0.0641025641025642</v>
      </c>
      <c r="S471" s="10" t="n">
        <v>1.94</v>
      </c>
      <c r="T471" s="9" t="n">
        <f aca="false">(S471-S470)/S470</f>
        <v>-0.00512820512820525</v>
      </c>
      <c r="U471" s="13" t="n">
        <v>1.92</v>
      </c>
      <c r="V471" s="9" t="n">
        <f aca="false">(U471-U470)/U470</f>
        <v>-0.0103092783505155</v>
      </c>
      <c r="W471" s="0" t="n">
        <v>1.3038</v>
      </c>
      <c r="X471" s="23" t="n">
        <f aca="false">(W471-W470)/W470</f>
        <v>0.000306889673162635</v>
      </c>
      <c r="Y471" s="0" t="n">
        <v>1.222</v>
      </c>
      <c r="Z471" s="24" t="n">
        <f aca="false">(Y471-Y470)/Y470</f>
        <v>0.00106496272630464</v>
      </c>
    </row>
    <row r="472" customFormat="false" ht="13.8" hidden="false" customHeight="false" outlineLevel="0" collapsed="false">
      <c r="A472" s="8" t="n">
        <v>40911</v>
      </c>
      <c r="B472" s="0" t="n">
        <v>41.59</v>
      </c>
      <c r="C472" s="9" t="n">
        <f aca="false">(B472-B471)/B471</f>
        <v>0.0561198577958355</v>
      </c>
      <c r="D472" s="0" t="n">
        <v>20.63</v>
      </c>
      <c r="E472" s="9" t="n">
        <f aca="false">(D472-D471)/D471</f>
        <v>-0.118376068376068</v>
      </c>
      <c r="F472" s="0" t="n">
        <v>127.71</v>
      </c>
      <c r="G472" s="9" t="n">
        <f aca="false">(F472-F471)/F471</f>
        <v>0.017609561752988</v>
      </c>
      <c r="H472" s="0" t="n">
        <f aca="false">AVERAGE(F458:F471)</f>
        <v>122.775</v>
      </c>
      <c r="I472" s="0" t="n">
        <f aca="false">AVERAGE(F465:F471)</f>
        <v>123.244285714286</v>
      </c>
      <c r="J472" s="0" t="n">
        <f aca="false">AVERAGE(F469:F471)</f>
        <v>124.493333333333</v>
      </c>
      <c r="K472" s="10" t="n">
        <v>99.81</v>
      </c>
      <c r="L472" s="9" t="n">
        <f aca="false">(K472-K471)/K471</f>
        <v>0.0211786372007367</v>
      </c>
      <c r="M472" s="10" t="n">
        <v>107.51</v>
      </c>
      <c r="N472" s="9" t="n">
        <f aca="false">(M472-M471)/M471</f>
        <v>-0.00194949870033414</v>
      </c>
      <c r="O472" s="0" t="n">
        <v>1.71</v>
      </c>
      <c r="P472" s="9" t="n">
        <f aca="false">(O472-O471)/O471</f>
        <v>0.049079754601227</v>
      </c>
      <c r="Q472" s="10" t="n">
        <v>-0.83</v>
      </c>
      <c r="R472" s="9" t="n">
        <f aca="false">(Q472-Q471)/Q471</f>
        <v>0.136986301369863</v>
      </c>
      <c r="S472" s="10" t="n">
        <v>1.99</v>
      </c>
      <c r="T472" s="9" t="n">
        <f aca="false">(S472-S471)/S471</f>
        <v>0.0257731958762887</v>
      </c>
      <c r="U472" s="13" t="n">
        <v>1.97</v>
      </c>
      <c r="V472" s="9" t="n">
        <f aca="false">(U472-U471)/U471</f>
        <v>0.0260416666666667</v>
      </c>
      <c r="W472" s="0" t="n">
        <v>1.2941</v>
      </c>
      <c r="X472" s="23" t="n">
        <f aca="false">(W472-W471)/W471</f>
        <v>-0.0074397913790459</v>
      </c>
      <c r="Y472" s="0" t="n">
        <v>1.2154</v>
      </c>
      <c r="Z472" s="24" t="n">
        <f aca="false">(Y472-Y471)/Y471</f>
        <v>-0.00540098199672663</v>
      </c>
    </row>
    <row r="473" customFormat="false" ht="13.8" hidden="false" customHeight="false" outlineLevel="0" collapsed="false">
      <c r="A473" s="8" t="n">
        <v>40917</v>
      </c>
      <c r="B473" s="0" t="n">
        <v>43.44</v>
      </c>
      <c r="C473" s="9" t="n">
        <f aca="false">(B473-B472)/B472</f>
        <v>0.0444818465977397</v>
      </c>
      <c r="D473" s="0" t="n">
        <v>20.91</v>
      </c>
      <c r="E473" s="9" t="n">
        <f aca="false">(D473-D472)/D472</f>
        <v>0.0135724672806593</v>
      </c>
      <c r="F473" s="0" t="n">
        <v>128.84</v>
      </c>
      <c r="G473" s="9" t="n">
        <f aca="false">(F473-F472)/F472</f>
        <v>0.00884817163886939</v>
      </c>
      <c r="H473" s="0" t="n">
        <f aca="false">AVERAGE(F459:F472)</f>
        <v>123.815</v>
      </c>
      <c r="I473" s="0" t="n">
        <f aca="false">AVERAGE(F466:F472)</f>
        <v>124.062857142857</v>
      </c>
      <c r="J473" s="0" t="n">
        <f aca="false">AVERAGE(F470:F472)</f>
        <v>126.533333333333</v>
      </c>
      <c r="K473" s="10" t="n">
        <v>102.39</v>
      </c>
      <c r="L473" s="9" t="n">
        <f aca="false">(K473-K472)/K472</f>
        <v>0.025849113315299</v>
      </c>
      <c r="M473" s="10" t="n">
        <v>112.51</v>
      </c>
      <c r="N473" s="9" t="n">
        <f aca="false">(M473-M472)/M472</f>
        <v>0.0465073016463585</v>
      </c>
      <c r="O473" s="0" t="n">
        <v>1.69</v>
      </c>
      <c r="P473" s="9" t="n">
        <f aca="false">(O473-O472)/O472</f>
        <v>-0.0116959064327485</v>
      </c>
      <c r="Q473" s="10" t="n">
        <v>-0.86</v>
      </c>
      <c r="R473" s="9" t="n">
        <f aca="false">(Q473-Q472)/Q472</f>
        <v>0.0361445783132529</v>
      </c>
      <c r="S473" s="10" t="n">
        <v>1.95</v>
      </c>
      <c r="T473" s="9" t="n">
        <f aca="false">(S473-S472)/S472</f>
        <v>-0.0201005025125627</v>
      </c>
      <c r="U473" s="13" t="n">
        <v>1.93</v>
      </c>
      <c r="V473" s="9" t="n">
        <f aca="false">(U473-U472)/U472</f>
        <v>-0.0203045685279187</v>
      </c>
      <c r="W473" s="0" t="n">
        <v>1.2721</v>
      </c>
      <c r="X473" s="23" t="n">
        <f aca="false">(W473-W472)/W472</f>
        <v>-0.017000231821343</v>
      </c>
      <c r="Y473" s="0" t="n">
        <v>1.2153</v>
      </c>
      <c r="Z473" s="24" t="n">
        <f aca="false">(Y473-Y472)/Y472</f>
        <v>-8.22774395260729E-005</v>
      </c>
    </row>
    <row r="474" customFormat="false" ht="13.8" hidden="false" customHeight="false" outlineLevel="0" collapsed="false">
      <c r="A474" s="8" t="n">
        <v>40925</v>
      </c>
      <c r="B474" s="0" t="n">
        <v>43.5</v>
      </c>
      <c r="C474" s="9" t="n">
        <f aca="false">(B474-B473)/B473</f>
        <v>0.00138121546961331</v>
      </c>
      <c r="D474" s="0" t="n">
        <v>18.28</v>
      </c>
      <c r="E474" s="9" t="n">
        <f aca="false">(D474-D473)/D473</f>
        <v>-0.125777140124342</v>
      </c>
      <c r="F474" s="0" t="n">
        <v>131.95</v>
      </c>
      <c r="G474" s="9" t="n">
        <f aca="false">(F474-F473)/F473</f>
        <v>0.0241384663148089</v>
      </c>
      <c r="H474" s="0" t="n">
        <f aca="false">AVERAGE(F460:F473)</f>
        <v>124.752857142857</v>
      </c>
      <c r="I474" s="0" t="n">
        <f aca="false">AVERAGE(F467:F473)</f>
        <v>125.848571428571</v>
      </c>
      <c r="J474" s="0" t="n">
        <f aca="false">AVERAGE(F471:F473)</f>
        <v>127.35</v>
      </c>
      <c r="K474" s="10" t="n">
        <v>100.43</v>
      </c>
      <c r="L474" s="9" t="n">
        <f aca="false">(K474-K473)/K473</f>
        <v>-0.0191424943842171</v>
      </c>
      <c r="M474" s="10" t="n">
        <v>111.78</v>
      </c>
      <c r="N474" s="9" t="n">
        <f aca="false">(M474-M473)/M473</f>
        <v>-0.00648831215003114</v>
      </c>
      <c r="O474" s="0" t="n">
        <v>1.74</v>
      </c>
      <c r="P474" s="9" t="n">
        <f aca="false">(O474-O473)/O473</f>
        <v>0.0295857988165681</v>
      </c>
      <c r="Q474" s="10" t="n">
        <v>-0.89</v>
      </c>
      <c r="R474" s="9" t="n">
        <f aca="false">(Q474-Q473)/Q473</f>
        <v>0.0348837209302326</v>
      </c>
      <c r="S474" s="10" t="n">
        <v>1.96</v>
      </c>
      <c r="T474" s="9" t="n">
        <f aca="false">(S474-S473)/S473</f>
        <v>0.00512820512820502</v>
      </c>
      <c r="U474" s="13" t="n">
        <v>1.92</v>
      </c>
      <c r="V474" s="9" t="n">
        <f aca="false">(U474-U473)/U473</f>
        <v>-0.00518134715025919</v>
      </c>
      <c r="W474" s="0" t="n">
        <v>1.2684</v>
      </c>
      <c r="X474" s="23" t="n">
        <f aca="false">(W474-W473)/W473</f>
        <v>-0.00290857636978228</v>
      </c>
      <c r="Y474" s="0" t="n">
        <v>1.2075</v>
      </c>
      <c r="Z474" s="24" t="n">
        <f aca="false">(Y474-Y473)/Y473</f>
        <v>-0.00641816835349299</v>
      </c>
    </row>
    <row r="475" customFormat="false" ht="13.8" hidden="false" customHeight="false" outlineLevel="0" collapsed="false">
      <c r="A475" s="8" t="n">
        <v>40931</v>
      </c>
      <c r="B475" s="0" t="n">
        <v>42.87</v>
      </c>
      <c r="C475" s="9" t="n">
        <f aca="false">(B475-B474)/B474</f>
        <v>-0.0144827586206897</v>
      </c>
      <c r="D475" s="0" t="n">
        <v>18.53</v>
      </c>
      <c r="E475" s="9" t="n">
        <f aca="false">(D475-D474)/D474</f>
        <v>0.0136761487964989</v>
      </c>
      <c r="F475" s="0" t="n">
        <v>131.82</v>
      </c>
      <c r="G475" s="9" t="n">
        <f aca="false">(F475-F474)/F474</f>
        <v>-0.000985221674876813</v>
      </c>
      <c r="H475" s="0" t="n">
        <f aca="false">AVERAGE(F461:F474)</f>
        <v>125.422857142857</v>
      </c>
      <c r="I475" s="0" t="n">
        <f aca="false">AVERAGE(F468:F474)</f>
        <v>126.861428571429</v>
      </c>
      <c r="J475" s="0" t="n">
        <f aca="false">AVERAGE(F472:F474)</f>
        <v>129.5</v>
      </c>
      <c r="K475" s="10" t="n">
        <v>99.95</v>
      </c>
      <c r="L475" s="9" t="n">
        <f aca="false">(K475-K474)/K474</f>
        <v>-0.00477944837200044</v>
      </c>
      <c r="M475" s="10" t="n">
        <v>109.6</v>
      </c>
      <c r="N475" s="9" t="n">
        <f aca="false">(M475-M474)/M474</f>
        <v>-0.0195025943818215</v>
      </c>
      <c r="O475" s="0" t="n">
        <v>1.83</v>
      </c>
      <c r="P475" s="9" t="n">
        <f aca="false">(O475-O474)/O474</f>
        <v>0.0517241379310345</v>
      </c>
      <c r="Q475" s="10" t="n">
        <v>-0.99</v>
      </c>
      <c r="R475" s="9" t="n">
        <f aca="false">(Q475-Q474)/Q474</f>
        <v>0.112359550561798</v>
      </c>
      <c r="S475" s="10" t="n">
        <v>2.01</v>
      </c>
      <c r="T475" s="9" t="n">
        <f aca="false">(S475-S474)/S474</f>
        <v>0.0255102040816326</v>
      </c>
      <c r="U475" s="13" t="n">
        <v>1.96</v>
      </c>
      <c r="V475" s="9" t="n">
        <f aca="false">(U475-U474)/U474</f>
        <v>0.0208333333333331</v>
      </c>
      <c r="W475" s="0" t="n">
        <v>1.2928</v>
      </c>
      <c r="X475" s="23" t="n">
        <f aca="false">(W475-W474)/W474</f>
        <v>0.0192368338063702</v>
      </c>
      <c r="Y475" s="0" t="n">
        <v>1.2083</v>
      </c>
      <c r="Z475" s="24" t="n">
        <f aca="false">(Y475-Y474)/Y474</f>
        <v>0.000662525879917111</v>
      </c>
    </row>
    <row r="476" customFormat="false" ht="13.8" hidden="false" customHeight="false" outlineLevel="0" collapsed="false">
      <c r="A476" s="8" t="n">
        <v>40938</v>
      </c>
      <c r="B476" s="0" t="n">
        <v>45.05</v>
      </c>
      <c r="C476" s="9" t="n">
        <f aca="false">(B476-B475)/B475</f>
        <v>0.0508514112432937</v>
      </c>
      <c r="D476" s="0" t="n">
        <v>17.1</v>
      </c>
      <c r="E476" s="9" t="n">
        <f aca="false">(D476-D475)/D475</f>
        <v>-0.0771721532649757</v>
      </c>
      <c r="F476" s="0" t="n">
        <v>134.54</v>
      </c>
      <c r="G476" s="9" t="n">
        <f aca="false">(F476-F475)/F475</f>
        <v>0.020634198148991</v>
      </c>
      <c r="H476" s="0" t="n">
        <f aca="false">AVERAGE(F462:F475)</f>
        <v>125.983571428571</v>
      </c>
      <c r="I476" s="0" t="n">
        <f aca="false">AVERAGE(F469:F475)</f>
        <v>127.685714285714</v>
      </c>
      <c r="J476" s="0" t="n">
        <f aca="false">AVERAGE(F473:F475)</f>
        <v>130.87</v>
      </c>
      <c r="K476" s="10" t="n">
        <v>99.35</v>
      </c>
      <c r="L476" s="9" t="n">
        <f aca="false">(K476-K475)/K475</f>
        <v>-0.00600300150075046</v>
      </c>
      <c r="M476" s="10" t="n">
        <v>109.18</v>
      </c>
      <c r="N476" s="9" t="n">
        <f aca="false">(M476-M475)/M475</f>
        <v>-0.00383211678832105</v>
      </c>
      <c r="O476" s="0" t="n">
        <v>1.88</v>
      </c>
      <c r="P476" s="9" t="n">
        <f aca="false">(O476-O475)/O475</f>
        <v>0.0273224043715846</v>
      </c>
      <c r="Q476" s="10" t="n">
        <v>-1.15</v>
      </c>
      <c r="R476" s="9" t="n">
        <f aca="false">(Q476-Q475)/Q475</f>
        <v>0.161616161616162</v>
      </c>
      <c r="S476" s="10" t="n">
        <v>1.88</v>
      </c>
      <c r="T476" s="9" t="n">
        <f aca="false">(S476-S475)/S475</f>
        <v>-0.0646766169154228</v>
      </c>
      <c r="U476" s="13" t="n">
        <v>1.81</v>
      </c>
      <c r="V476" s="9" t="n">
        <f aca="false">(U476-U475)/U475</f>
        <v>-0.0765306122448978</v>
      </c>
      <c r="W476" s="0" t="n">
        <v>1.3215</v>
      </c>
      <c r="X476" s="23" t="n">
        <f aca="false">(W476-W475)/W475</f>
        <v>0.0221998762376237</v>
      </c>
      <c r="Y476" s="0" t="n">
        <v>1.2056</v>
      </c>
      <c r="Z476" s="24" t="n">
        <f aca="false">(Y476-Y475)/Y475</f>
        <v>-0.0022345444012248</v>
      </c>
    </row>
    <row r="477" customFormat="false" ht="13.8" hidden="false" customHeight="false" outlineLevel="0" collapsed="false">
      <c r="A477" s="8" t="n">
        <v>40945</v>
      </c>
      <c r="B477" s="0" t="n">
        <v>44.53</v>
      </c>
      <c r="C477" s="9" t="n">
        <f aca="false">(B477-B476)/B476</f>
        <v>-0.0115427302996669</v>
      </c>
      <c r="D477" s="0" t="n">
        <v>20.77</v>
      </c>
      <c r="E477" s="9" t="n">
        <f aca="false">(D477-D476)/D476</f>
        <v>0.214619883040935</v>
      </c>
      <c r="F477" s="0" t="n">
        <v>134.36</v>
      </c>
      <c r="G477" s="9" t="n">
        <f aca="false">(F477-F476)/F476</f>
        <v>-0.00133789207670565</v>
      </c>
      <c r="H477" s="0" t="n">
        <f aca="false">AVERAGE(F463:F476)</f>
        <v>126.407857142857</v>
      </c>
      <c r="I477" s="0" t="n">
        <f aca="false">AVERAGE(F470:F476)</f>
        <v>129.535714285714</v>
      </c>
      <c r="J477" s="0" t="n">
        <f aca="false">AVERAGE(F474:F476)</f>
        <v>132.77</v>
      </c>
      <c r="K477" s="10" t="n">
        <v>97.8</v>
      </c>
      <c r="L477" s="9" t="n">
        <f aca="false">(K477-K476)/K476</f>
        <v>-0.015601409159537</v>
      </c>
      <c r="M477" s="10" t="n">
        <v>111.2</v>
      </c>
      <c r="N477" s="9" t="n">
        <f aca="false">(M477-M476)/M476</f>
        <v>0.0185015570617329</v>
      </c>
      <c r="O477" s="0" t="n">
        <v>1.91</v>
      </c>
      <c r="P477" s="9" t="n">
        <f aca="false">(O477-O476)/O476</f>
        <v>0.0159574468085108</v>
      </c>
      <c r="Q477" s="10" t="n">
        <v>-1.1</v>
      </c>
      <c r="R477" s="9" t="n">
        <f aca="false">(Q477-Q476)/Q476</f>
        <v>-0.0434782608695651</v>
      </c>
      <c r="S477" s="10" t="n">
        <v>1.99</v>
      </c>
      <c r="T477" s="9" t="n">
        <f aca="false">(S477-S476)/S476</f>
        <v>0.0585106382978724</v>
      </c>
      <c r="U477" s="13" t="n">
        <v>1.9</v>
      </c>
      <c r="V477" s="9" t="n">
        <f aca="false">(U477-U476)/U476</f>
        <v>0.0497237569060774</v>
      </c>
      <c r="W477" s="0" t="n">
        <v>1.3146</v>
      </c>
      <c r="X477" s="23" t="n">
        <f aca="false">(W477-W476)/W476</f>
        <v>-0.00522133938706009</v>
      </c>
      <c r="Y477" s="0" t="n">
        <v>1.2073</v>
      </c>
      <c r="Z477" s="24" t="n">
        <f aca="false">(Y477-Y476)/Y476</f>
        <v>0.00141008626410089</v>
      </c>
    </row>
    <row r="478" customFormat="false" ht="13.8" hidden="false" customHeight="false" outlineLevel="0" collapsed="false">
      <c r="A478" s="8" t="n">
        <v>40952</v>
      </c>
      <c r="B478" s="0" t="n">
        <v>45.59</v>
      </c>
      <c r="C478" s="9" t="n">
        <f aca="false">(B478-B477)/B477</f>
        <v>0.0238041769593533</v>
      </c>
      <c r="D478" s="0" t="n">
        <v>17.78</v>
      </c>
      <c r="E478" s="9" t="n">
        <f aca="false">(D478-D477)/D477</f>
        <v>-0.143957631198844</v>
      </c>
      <c r="F478" s="0" t="n">
        <v>136.41</v>
      </c>
      <c r="G478" s="9" t="n">
        <f aca="false">(F478-F477)/F477</f>
        <v>0.0152575171181898</v>
      </c>
      <c r="H478" s="0" t="n">
        <f aca="false">AVERAGE(F464:F477)</f>
        <v>127.042142857143</v>
      </c>
      <c r="I478" s="0" t="n">
        <f aca="false">AVERAGE(F471:F477)</f>
        <v>130.674285714286</v>
      </c>
      <c r="J478" s="0" t="n">
        <f aca="false">AVERAGE(F475:F477)</f>
        <v>133.573333333333</v>
      </c>
      <c r="K478" s="10" t="n">
        <v>98.56</v>
      </c>
      <c r="L478" s="9" t="n">
        <f aca="false">(K478-K477)/K477</f>
        <v>0.00777096114519433</v>
      </c>
      <c r="M478" s="10" t="n">
        <v>117.21</v>
      </c>
      <c r="N478" s="9" t="n">
        <f aca="false">(M478-M477)/M477</f>
        <v>0.054046762589928</v>
      </c>
      <c r="O478" s="0" t="n">
        <v>1.93</v>
      </c>
      <c r="P478" s="9" t="n">
        <f aca="false">(O478-O477)/O477</f>
        <v>0.0104712041884817</v>
      </c>
      <c r="Q478" s="10" t="n">
        <v>-1.09</v>
      </c>
      <c r="R478" s="9" t="n">
        <f aca="false">(Q478-Q477)/Q477</f>
        <v>-0.0090909090909091</v>
      </c>
      <c r="S478" s="10" t="n">
        <v>1.97</v>
      </c>
      <c r="T478" s="9" t="n">
        <f aca="false">(S478-S477)/S477</f>
        <v>-0.0100502512562814</v>
      </c>
      <c r="U478" s="13" t="n">
        <v>1.86</v>
      </c>
      <c r="V478" s="9" t="n">
        <f aca="false">(U478-U477)/U477</f>
        <v>-0.0210526315789474</v>
      </c>
      <c r="W478" s="0" t="n">
        <v>1.3166</v>
      </c>
      <c r="X478" s="23" t="n">
        <f aca="false">(W478-W477)/W477</f>
        <v>0.00152137532329226</v>
      </c>
      <c r="Y478" s="0" t="n">
        <v>1.2087</v>
      </c>
      <c r="Z478" s="24" t="n">
        <f aca="false">(Y478-Y477)/Y477</f>
        <v>0.00115961235815462</v>
      </c>
    </row>
    <row r="479" customFormat="false" ht="13.8" hidden="false" customHeight="false" outlineLevel="0" collapsed="false">
      <c r="A479" s="8" t="n">
        <v>40960</v>
      </c>
      <c r="B479" s="0" t="n">
        <v>44.7</v>
      </c>
      <c r="C479" s="9" t="n">
        <f aca="false">(B479-B478)/B478</f>
        <v>-0.0195218249616144</v>
      </c>
      <c r="D479" s="0" t="n">
        <v>17.31</v>
      </c>
      <c r="E479" s="9" t="n">
        <f aca="false">(D479-D478)/D478</f>
        <v>-0.0264341957255344</v>
      </c>
      <c r="F479" s="0" t="n">
        <v>136.93</v>
      </c>
      <c r="G479" s="9" t="n">
        <f aca="false">(F479-F478)/F478</f>
        <v>0.00381203724067158</v>
      </c>
      <c r="H479" s="0" t="n">
        <f aca="false">AVERAGE(F465:F478)</f>
        <v>127.738571428571</v>
      </c>
      <c r="I479" s="0" t="n">
        <f aca="false">AVERAGE(F472:F478)</f>
        <v>132.232857142857</v>
      </c>
      <c r="J479" s="0" t="n">
        <f aca="false">AVERAGE(F476:F478)</f>
        <v>135.103333333333</v>
      </c>
      <c r="K479" s="10" t="n">
        <v>101.73</v>
      </c>
      <c r="L479" s="9" t="n">
        <f aca="false">(K479-K478)/K478</f>
        <v>0.0321631493506494</v>
      </c>
      <c r="M479" s="10" t="n">
        <v>119.79</v>
      </c>
      <c r="N479" s="9" t="n">
        <f aca="false">(M479-M478)/M478</f>
        <v>0.0220117737394421</v>
      </c>
      <c r="O479" s="0" t="n">
        <v>2.01</v>
      </c>
      <c r="P479" s="9" t="n">
        <f aca="false">(O479-O478)/O478</f>
        <v>0.0414507772020726</v>
      </c>
      <c r="Q479" s="10" t="n">
        <v>-1.12</v>
      </c>
      <c r="R479" s="9" t="n">
        <f aca="false">(Q479-Q478)/Q478</f>
        <v>0.0275229357798165</v>
      </c>
      <c r="S479" s="10" t="n">
        <v>2.01</v>
      </c>
      <c r="T479" s="9" t="n">
        <f aca="false">(S479-S478)/S478</f>
        <v>0.0203045685279187</v>
      </c>
      <c r="U479" s="13" t="n">
        <v>1.92</v>
      </c>
      <c r="V479" s="9" t="n">
        <f aca="false">(U479-U478)/U478</f>
        <v>0.0322580645161288</v>
      </c>
      <c r="W479" s="0" t="n">
        <v>1.3157</v>
      </c>
      <c r="X479" s="23" t="n">
        <f aca="false">(W479-W478)/W478</f>
        <v>-0.000683578915388046</v>
      </c>
      <c r="Y479" s="0" t="n">
        <v>1.2082</v>
      </c>
      <c r="Z479" s="24" t="n">
        <f aca="false">(Y479-Y478)/Y478</f>
        <v>-0.000413667576735474</v>
      </c>
    </row>
    <row r="480" customFormat="false" ht="13.8" hidden="false" customHeight="false" outlineLevel="0" collapsed="false">
      <c r="A480" s="8" t="n">
        <v>40966</v>
      </c>
      <c r="B480" s="0" t="n">
        <v>45.59</v>
      </c>
      <c r="C480" s="9" t="n">
        <f aca="false">(B480-B479)/B479</f>
        <v>0.019910514541387</v>
      </c>
      <c r="D480" s="0" t="n">
        <v>17.29</v>
      </c>
      <c r="E480" s="9" t="n">
        <f aca="false">(D480-D479)/D479</f>
        <v>-0.00115540150202193</v>
      </c>
      <c r="F480" s="0" t="n">
        <v>137.31</v>
      </c>
      <c r="G480" s="9" t="n">
        <f aca="false">(F480-F479)/F479</f>
        <v>0.00277514058277949</v>
      </c>
      <c r="H480" s="0" t="n">
        <f aca="false">AVERAGE(F466:F479)</f>
        <v>128.806428571429</v>
      </c>
      <c r="I480" s="0" t="n">
        <f aca="false">AVERAGE(F473:F479)</f>
        <v>133.55</v>
      </c>
      <c r="J480" s="0" t="n">
        <f aca="false">AVERAGE(F477:F479)</f>
        <v>135.9</v>
      </c>
      <c r="K480" s="10" t="n">
        <v>107.18</v>
      </c>
      <c r="L480" s="9" t="n">
        <f aca="false">(K480-K479)/K479</f>
        <v>0.0535731839182149</v>
      </c>
      <c r="M480" s="10" t="n">
        <v>123.34</v>
      </c>
      <c r="N480" s="9" t="n">
        <f aca="false">(M480-M479)/M479</f>
        <v>0.0296351949244511</v>
      </c>
      <c r="O480" s="0" t="n">
        <v>1.99</v>
      </c>
      <c r="P480" s="9" t="n">
        <f aca="false">(O480-O479)/O479</f>
        <v>-0.00995024875621913</v>
      </c>
      <c r="Q480" s="10" t="n">
        <v>-1.13</v>
      </c>
      <c r="R480" s="9" t="n">
        <f aca="false">(Q480-Q479)/Q479</f>
        <v>0.00892857142857124</v>
      </c>
      <c r="S480" s="10" t="n">
        <v>1.97</v>
      </c>
      <c r="T480" s="9" t="n">
        <f aca="false">(S480-S479)/S479</f>
        <v>-0.0199004975124377</v>
      </c>
      <c r="U480" s="13" t="n">
        <v>1.88</v>
      </c>
      <c r="V480" s="9" t="n">
        <f aca="false">(U480-U479)/U479</f>
        <v>-0.0208333333333331</v>
      </c>
      <c r="W480" s="0" t="n">
        <v>1.3463</v>
      </c>
      <c r="X480" s="23" t="n">
        <f aca="false">(W480-W479)/W479</f>
        <v>0.023257581515543</v>
      </c>
      <c r="Y480" s="0" t="n">
        <v>1.2048</v>
      </c>
      <c r="Z480" s="24" t="n">
        <f aca="false">(Y480-Y479)/Y479</f>
        <v>-0.00281410362522749</v>
      </c>
    </row>
    <row r="481" customFormat="false" ht="13.8" hidden="false" customHeight="false" outlineLevel="0" collapsed="false">
      <c r="A481" s="8" t="n">
        <v>40973</v>
      </c>
      <c r="B481" s="0" t="n">
        <v>45.72</v>
      </c>
      <c r="C481" s="9" t="n">
        <f aca="false">(B481-B480)/B480</f>
        <v>0.0028515025224829</v>
      </c>
      <c r="D481" s="0" t="n">
        <v>17.11</v>
      </c>
      <c r="E481" s="9" t="n">
        <f aca="false">(D481-D480)/D480</f>
        <v>-0.0104106419895893</v>
      </c>
      <c r="F481" s="0" t="n">
        <v>137.57</v>
      </c>
      <c r="G481" s="9" t="n">
        <f aca="false">(F481-F480)/F480</f>
        <v>0.00189352559900947</v>
      </c>
      <c r="H481" s="0" t="n">
        <f aca="false">AVERAGE(F467:F480)</f>
        <v>130.304285714286</v>
      </c>
      <c r="I481" s="0" t="n">
        <f aca="false">AVERAGE(F474:F480)</f>
        <v>134.76</v>
      </c>
      <c r="J481" s="0" t="n">
        <f aca="false">AVERAGE(F478:F480)</f>
        <v>136.883333333333</v>
      </c>
      <c r="K481" s="10" t="n">
        <v>107.52</v>
      </c>
      <c r="L481" s="9" t="n">
        <f aca="false">(K481-K480)/K480</f>
        <v>0.00317223362567633</v>
      </c>
      <c r="M481" s="10" t="n">
        <v>124.88</v>
      </c>
      <c r="N481" s="9" t="n">
        <f aca="false">(M481-M480)/M480</f>
        <v>0.0124858115777525</v>
      </c>
      <c r="O481" s="0" t="n">
        <v>1.99</v>
      </c>
      <c r="P481" s="9" t="n">
        <f aca="false">(O481-O480)/O480</f>
        <v>0</v>
      </c>
      <c r="Q481" s="10" t="n">
        <v>-1.12</v>
      </c>
      <c r="R481" s="9" t="n">
        <f aca="false">(Q481-Q480)/Q480</f>
        <v>-0.00884955752212371</v>
      </c>
      <c r="S481" s="10" t="n">
        <v>2</v>
      </c>
      <c r="T481" s="9" t="n">
        <f aca="false">(S481-S480)/S480</f>
        <v>0.0152284263959391</v>
      </c>
      <c r="U481" s="13" t="n">
        <v>1.92</v>
      </c>
      <c r="V481" s="9" t="n">
        <f aca="false">(U481-U480)/U480</f>
        <v>0.0212765957446809</v>
      </c>
      <c r="W481" s="0" t="n">
        <v>1.3207</v>
      </c>
      <c r="X481" s="23" t="n">
        <f aca="false">(W481-W480)/W480</f>
        <v>-0.0190150783629206</v>
      </c>
      <c r="Y481" s="0" t="n">
        <v>1.2063</v>
      </c>
      <c r="Z481" s="24" t="n">
        <f aca="false">(Y481-Y480)/Y480</f>
        <v>0.00124501992031859</v>
      </c>
    </row>
    <row r="482" customFormat="false" ht="13.8" hidden="false" customHeight="false" outlineLevel="0" collapsed="false">
      <c r="A482" s="8" t="n">
        <v>40980</v>
      </c>
      <c r="B482" s="0" t="n">
        <v>49.74</v>
      </c>
      <c r="C482" s="9" t="n">
        <f aca="false">(B482-B481)/B481</f>
        <v>0.0879265091863518</v>
      </c>
      <c r="D482" s="0" t="n">
        <v>14.43</v>
      </c>
      <c r="E482" s="9" t="n">
        <f aca="false">(D482-D481)/D481</f>
        <v>-0.156633547632963</v>
      </c>
      <c r="F482" s="0" t="n">
        <v>140.3</v>
      </c>
      <c r="G482" s="9" t="n">
        <f aca="false">(F482-F481)/F481</f>
        <v>0.0198444428291053</v>
      </c>
      <c r="H482" s="0" t="n">
        <f aca="false">AVERAGE(F468:F481)</f>
        <v>131.212142857143</v>
      </c>
      <c r="I482" s="0" t="n">
        <f aca="false">AVERAGE(F475:F481)</f>
        <v>135.562857142857</v>
      </c>
      <c r="J482" s="0" t="n">
        <f aca="false">AVERAGE(F479:F481)</f>
        <v>137.27</v>
      </c>
      <c r="K482" s="10" t="n">
        <v>106.32</v>
      </c>
      <c r="L482" s="9" t="n">
        <f aca="false">(K482-K481)/K481</f>
        <v>-0.0111607142857143</v>
      </c>
      <c r="M482" s="10" t="n">
        <v>126.62</v>
      </c>
      <c r="N482" s="9" t="n">
        <f aca="false">(M482-M481)/M481</f>
        <v>0.0139333760409994</v>
      </c>
      <c r="O482" s="0" t="n">
        <v>2.12</v>
      </c>
      <c r="P482" s="9" t="n">
        <f aca="false">(O482-O481)/O481</f>
        <v>0.0653266331658291</v>
      </c>
      <c r="Q482" s="10" t="n">
        <v>-1.06</v>
      </c>
      <c r="R482" s="9" t="n">
        <f aca="false">(Q482-Q481)/Q481</f>
        <v>-0.0535714285714286</v>
      </c>
      <c r="S482" s="10" t="n">
        <v>2.21</v>
      </c>
      <c r="T482" s="9" t="n">
        <f aca="false">(S482-S481)/S481</f>
        <v>0.105</v>
      </c>
      <c r="U482" s="13" t="n">
        <v>2.12</v>
      </c>
      <c r="V482" s="9" t="n">
        <f aca="false">(U482-U481)/U481</f>
        <v>0.104166666666667</v>
      </c>
      <c r="W482" s="0" t="n">
        <v>1.3114</v>
      </c>
      <c r="X482" s="23" t="n">
        <f aca="false">(W482-W481)/W481</f>
        <v>-0.00704172029984106</v>
      </c>
      <c r="Y482" s="0" t="n">
        <v>1.2055</v>
      </c>
      <c r="Z482" s="24" t="n">
        <f aca="false">(Y482-Y481)/Y481</f>
        <v>-0.00066318494570166</v>
      </c>
    </row>
    <row r="483" customFormat="false" ht="13.8" hidden="false" customHeight="false" outlineLevel="0" collapsed="false">
      <c r="A483" s="8" t="n">
        <v>40987</v>
      </c>
      <c r="B483" s="0" t="n">
        <v>49.53</v>
      </c>
      <c r="C483" s="9" t="n">
        <f aca="false">(B483-B482)/B482</f>
        <v>-0.00422195416164055</v>
      </c>
      <c r="D483" s="0" t="n">
        <v>14.82</v>
      </c>
      <c r="E483" s="9" t="n">
        <f aca="false">(D483-D482)/D482</f>
        <v>0.0270270270270271</v>
      </c>
      <c r="F483" s="0" t="n">
        <v>139.65</v>
      </c>
      <c r="G483" s="9" t="n">
        <f aca="false">(F483-F482)/F482</f>
        <v>-0.00463292943692092</v>
      </c>
      <c r="H483" s="0" t="n">
        <f aca="false">AVERAGE(F469:F482)</f>
        <v>132.23</v>
      </c>
      <c r="I483" s="0" t="n">
        <f aca="false">AVERAGE(F476:F482)</f>
        <v>136.774285714286</v>
      </c>
      <c r="J483" s="0" t="n">
        <f aca="false">AVERAGE(F480:F482)</f>
        <v>138.393333333333</v>
      </c>
      <c r="K483" s="10" t="n">
        <v>106.15</v>
      </c>
      <c r="L483" s="9" t="n">
        <f aca="false">(K483-K482)/K482</f>
        <v>-0.0015989465763731</v>
      </c>
      <c r="M483" s="10" t="n">
        <v>126.22</v>
      </c>
      <c r="N483" s="9" t="n">
        <f aca="false">(M483-M482)/M482</f>
        <v>-0.00315905860053708</v>
      </c>
      <c r="O483" s="0" t="n">
        <v>2.1</v>
      </c>
      <c r="P483" s="9" t="n">
        <f aca="false">(O483-O482)/O482</f>
        <v>-0.00943396226415116</v>
      </c>
      <c r="Q483" s="10" t="n">
        <v>-0.94</v>
      </c>
      <c r="R483" s="9" t="n">
        <f aca="false">(Q483-Q482)/Q482</f>
        <v>-0.113207547169811</v>
      </c>
      <c r="S483" s="10" t="n">
        <v>2.32</v>
      </c>
      <c r="T483" s="9" t="n">
        <f aca="false">(S483-S482)/S482</f>
        <v>0.0497737556561085</v>
      </c>
      <c r="U483" s="13" t="n">
        <v>2.23</v>
      </c>
      <c r="V483" s="9" t="n">
        <f aca="false">(U483-U482)/U482</f>
        <v>0.0518867924528301</v>
      </c>
      <c r="W483" s="0" t="n">
        <v>1.3168</v>
      </c>
      <c r="X483" s="23" t="n">
        <f aca="false">(W483-W482)/W482</f>
        <v>0.00411773676986432</v>
      </c>
      <c r="Y483" s="0" t="n">
        <v>1.2063</v>
      </c>
      <c r="Z483" s="24" t="n">
        <f aca="false">(Y483-Y482)/Y482</f>
        <v>0.000663625051845634</v>
      </c>
    </row>
    <row r="484" customFormat="false" ht="13.8" hidden="false" customHeight="false" outlineLevel="0" collapsed="false">
      <c r="A484" s="8" t="n">
        <v>40994</v>
      </c>
      <c r="B484" s="0" t="n">
        <v>49.74</v>
      </c>
      <c r="C484" s="9" t="n">
        <f aca="false">(B484-B483)/B483</f>
        <v>0.00423985463355544</v>
      </c>
      <c r="D484" s="0" t="n">
        <v>15.5</v>
      </c>
      <c r="E484" s="9" t="n">
        <f aca="false">(D484-D483)/D483</f>
        <v>0.0458839406207827</v>
      </c>
      <c r="F484" s="0" t="n">
        <v>140.81</v>
      </c>
      <c r="G484" s="9" t="n">
        <f aca="false">(F484-F483)/F483</f>
        <v>0.00830648048693159</v>
      </c>
      <c r="H484" s="0" t="n">
        <f aca="false">AVERAGE(F470:F483)</f>
        <v>133.52</v>
      </c>
      <c r="I484" s="0" t="n">
        <f aca="false">AVERAGE(F477:F483)</f>
        <v>137.504285714286</v>
      </c>
      <c r="J484" s="0" t="n">
        <f aca="false">AVERAGE(F481:F483)</f>
        <v>139.173333333333</v>
      </c>
      <c r="K484" s="10" t="n">
        <v>106.41</v>
      </c>
      <c r="L484" s="9" t="n">
        <f aca="false">(K484-K483)/K483</f>
        <v>0.00244936410739511</v>
      </c>
      <c r="M484" s="10" t="n">
        <v>124.35</v>
      </c>
      <c r="N484" s="9" t="n">
        <f aca="false">(M484-M483)/M483</f>
        <v>-0.0148154016796071</v>
      </c>
      <c r="O484" s="0" t="n">
        <v>2.02</v>
      </c>
      <c r="P484" s="9" t="n">
        <f aca="false">(O484-O483)/O483</f>
        <v>-0.0380952380952379</v>
      </c>
      <c r="Q484" s="10" t="n">
        <v>-0.97</v>
      </c>
      <c r="R484" s="9" t="n">
        <f aca="false">(Q484-Q483)/Q483</f>
        <v>0.0319148936170212</v>
      </c>
      <c r="S484" s="10" t="n">
        <v>2.22</v>
      </c>
      <c r="T484" s="9" t="n">
        <f aca="false">(S484-S483)/S483</f>
        <v>-0.0431034482758619</v>
      </c>
      <c r="U484" s="13" t="n">
        <v>2.14</v>
      </c>
      <c r="V484" s="9" t="n">
        <f aca="false">(U484-U483)/U483</f>
        <v>-0.0403587443946188</v>
      </c>
      <c r="W484" s="0" t="n">
        <v>1.3262</v>
      </c>
      <c r="X484" s="23" t="n">
        <f aca="false">(W484-W483)/W483</f>
        <v>0.00713851761846907</v>
      </c>
      <c r="Y484" s="0" t="n">
        <v>1.2047</v>
      </c>
      <c r="Z484" s="24" t="n">
        <f aca="false">(Y484-Y483)/Y483</f>
        <v>-0.00132636989140332</v>
      </c>
    </row>
    <row r="485" customFormat="false" ht="13.8" hidden="false" customHeight="false" outlineLevel="0" collapsed="false">
      <c r="A485" s="8" t="n">
        <v>41001</v>
      </c>
      <c r="B485" s="0" t="n">
        <v>48.87</v>
      </c>
      <c r="C485" s="9" t="n">
        <f aca="false">(B485-B484)/B484</f>
        <v>-0.017490952955368</v>
      </c>
      <c r="D485" s="0" t="n">
        <v>16.7</v>
      </c>
      <c r="E485" s="9" t="n">
        <f aca="false">(D485-D484)/D484</f>
        <v>0.0774193548387096</v>
      </c>
      <c r="F485" s="0" t="n">
        <v>139.79</v>
      </c>
      <c r="G485" s="9" t="n">
        <f aca="false">(F485-F484)/F484</f>
        <v>-0.00724380370712315</v>
      </c>
      <c r="H485" s="0" t="n">
        <f aca="false">AVERAGE(F471:F484)</f>
        <v>134.55</v>
      </c>
      <c r="I485" s="0" t="n">
        <f aca="false">AVERAGE(F478:F484)</f>
        <v>138.425714285714</v>
      </c>
      <c r="J485" s="0" t="n">
        <f aca="false">AVERAGE(F482:F484)</f>
        <v>140.253333333333</v>
      </c>
      <c r="K485" s="10" t="n">
        <v>105.12</v>
      </c>
      <c r="L485" s="9" t="n">
        <f aca="false">(K485-K484)/K484</f>
        <v>-0.0121229207781223</v>
      </c>
      <c r="M485" s="10" t="n">
        <v>124.43</v>
      </c>
      <c r="N485" s="9" t="n">
        <f aca="false">(M485-M484)/M484</f>
        <v>0.00064334539605961</v>
      </c>
      <c r="O485" s="0" t="n">
        <v>1.97</v>
      </c>
      <c r="P485" s="9" t="n">
        <f aca="false">(O485-O484)/O484</f>
        <v>-0.0247524752475248</v>
      </c>
      <c r="Q485" s="10" t="n">
        <v>-0.95</v>
      </c>
      <c r="R485" s="9" t="n">
        <f aca="false">(Q485-Q484)/Q484</f>
        <v>-0.0206185567010308</v>
      </c>
      <c r="S485" s="10" t="n">
        <v>2.21</v>
      </c>
      <c r="T485" s="9" t="n">
        <f aca="false">(S485-S484)/S484</f>
        <v>-0.00450450450450461</v>
      </c>
      <c r="U485" s="13" t="n">
        <v>2.13</v>
      </c>
      <c r="V485" s="9" t="n">
        <f aca="false">(U485-U484)/U484</f>
        <v>-0.00467289719626179</v>
      </c>
      <c r="W485" s="0" t="n">
        <v>1.3336</v>
      </c>
      <c r="X485" s="23" t="n">
        <f aca="false">(W485-W484)/W484</f>
        <v>0.00557985220931975</v>
      </c>
      <c r="Y485" s="0" t="n">
        <v>1.2038</v>
      </c>
      <c r="Z485" s="24" t="n">
        <f aca="false">(Y485-Y484)/Y484</f>
        <v>-0.000747073960322174</v>
      </c>
    </row>
    <row r="486" customFormat="false" ht="13.8" hidden="false" customHeight="false" outlineLevel="0" collapsed="false">
      <c r="A486" s="8" t="n">
        <v>41008</v>
      </c>
      <c r="B486" s="0" t="n">
        <v>47.17</v>
      </c>
      <c r="C486" s="9" t="n">
        <f aca="false">(B486-B485)/B485</f>
        <v>-0.0347861673828524</v>
      </c>
      <c r="D486" s="0" t="n">
        <v>19.55</v>
      </c>
      <c r="E486" s="9" t="n">
        <f aca="false">(D486-D485)/D485</f>
        <v>0.170658682634731</v>
      </c>
      <c r="F486" s="0" t="n">
        <v>137.14</v>
      </c>
      <c r="G486" s="9" t="n">
        <f aca="false">(F486-F485)/F485</f>
        <v>-0.0189570069389799</v>
      </c>
      <c r="H486" s="0" t="n">
        <f aca="false">AVERAGE(F472:F485)</f>
        <v>135.570714285714</v>
      </c>
      <c r="I486" s="0" t="n">
        <f aca="false">AVERAGE(F479:F485)</f>
        <v>138.908571428571</v>
      </c>
      <c r="J486" s="0" t="n">
        <f aca="false">AVERAGE(F483:F485)</f>
        <v>140.083333333333</v>
      </c>
      <c r="K486" s="10" t="n">
        <v>103.52</v>
      </c>
      <c r="L486" s="9" t="n">
        <f aca="false">(K486-K485)/K485</f>
        <v>-0.0152207001522071</v>
      </c>
      <c r="M486" s="10" t="n">
        <v>124.18</v>
      </c>
      <c r="N486" s="9" t="n">
        <f aca="false">(M486-M485)/M485</f>
        <v>-0.00200916177770634</v>
      </c>
      <c r="O486" s="0" t="n">
        <v>1.9</v>
      </c>
      <c r="P486" s="9" t="n">
        <f aca="false">(O486-O485)/O485</f>
        <v>-0.0355329949238579</v>
      </c>
      <c r="Q486" s="10" t="n">
        <v>-1.02</v>
      </c>
      <c r="R486" s="9" t="n">
        <f aca="false">(Q486-Q485)/Q485</f>
        <v>0.0736842105263157</v>
      </c>
      <c r="S486" s="10" t="n">
        <v>2.04</v>
      </c>
      <c r="T486" s="9" t="n">
        <f aca="false">(S486-S485)/S485</f>
        <v>-0.0769230769230769</v>
      </c>
      <c r="U486" s="13" t="n">
        <v>1.95</v>
      </c>
      <c r="V486" s="9" t="n">
        <f aca="false">(U486-U485)/U485</f>
        <v>-0.084507042253521</v>
      </c>
      <c r="W486" s="0" t="n">
        <v>1.3088</v>
      </c>
      <c r="X486" s="23" t="n">
        <f aca="false">(W486-W485)/W485</f>
        <v>-0.0185962807438512</v>
      </c>
      <c r="Y486" s="0" t="n">
        <v>1.201</v>
      </c>
      <c r="Z486" s="24" t="n">
        <f aca="false">(Y486-Y485)/Y485</f>
        <v>-0.00232596776873228</v>
      </c>
    </row>
    <row r="487" customFormat="false" ht="13.8" hidden="false" customHeight="false" outlineLevel="0" collapsed="false">
      <c r="A487" s="8" t="n">
        <v>41015</v>
      </c>
      <c r="B487" s="0" t="n">
        <v>47.56</v>
      </c>
      <c r="C487" s="9" t="n">
        <f aca="false">(B487-B486)/B486</f>
        <v>0.0082679669281323</v>
      </c>
      <c r="D487" s="0" t="n">
        <v>17.44</v>
      </c>
      <c r="E487" s="9" t="n">
        <f aca="false">(D487-D486)/D486</f>
        <v>-0.107928388746803</v>
      </c>
      <c r="F487" s="0" t="n">
        <v>137.95</v>
      </c>
      <c r="G487" s="9" t="n">
        <f aca="false">(F487-F486)/F486</f>
        <v>0.00590637304943855</v>
      </c>
      <c r="H487" s="0" t="n">
        <f aca="false">AVERAGE(F473:F486)</f>
        <v>136.244285714286</v>
      </c>
      <c r="I487" s="0" t="n">
        <f aca="false">AVERAGE(F480:F486)</f>
        <v>138.938571428571</v>
      </c>
      <c r="J487" s="0" t="n">
        <f aca="false">AVERAGE(F484:F486)</f>
        <v>139.246666666667</v>
      </c>
      <c r="K487" s="10" t="n">
        <v>102.55</v>
      </c>
      <c r="L487" s="9" t="n">
        <f aca="false">(K487-K486)/K486</f>
        <v>-0.00937017001545594</v>
      </c>
      <c r="M487" s="10" t="n">
        <v>120.87</v>
      </c>
      <c r="N487" s="9" t="n">
        <f aca="false">(M487-M486)/M486</f>
        <v>-0.0266548558544049</v>
      </c>
      <c r="O487" s="0" t="n">
        <v>1.91</v>
      </c>
      <c r="P487" s="9" t="n">
        <f aca="false">(O487-O486)/O486</f>
        <v>0.00526315789473696</v>
      </c>
      <c r="Q487" s="10" t="n">
        <v>-1.05</v>
      </c>
      <c r="R487" s="9" t="n">
        <f aca="false">(Q487-Q486)/Q486</f>
        <v>0.0294117647058824</v>
      </c>
      <c r="S487" s="10" t="n">
        <v>2</v>
      </c>
      <c r="T487" s="9" t="n">
        <f aca="false">(S487-S486)/S486</f>
        <v>-0.0196078431372549</v>
      </c>
      <c r="U487" s="13" t="n">
        <v>1.92</v>
      </c>
      <c r="V487" s="9" t="n">
        <f aca="false">(U487-U486)/U486</f>
        <v>-0.0153846153846155</v>
      </c>
      <c r="W487" s="0" t="n">
        <v>1.3072</v>
      </c>
      <c r="X487" s="23" t="n">
        <f aca="false">(W487-W486)/W486</f>
        <v>-0.0012224938875306</v>
      </c>
      <c r="Y487" s="0" t="n">
        <v>1.2027</v>
      </c>
      <c r="Z487" s="24" t="n">
        <f aca="false">(Y487-Y486)/Y486</f>
        <v>0.00141548709408829</v>
      </c>
    </row>
    <row r="488" customFormat="false" ht="13.8" hidden="false" customHeight="false" outlineLevel="0" collapsed="false">
      <c r="A488" s="8" t="n">
        <v>41022</v>
      </c>
      <c r="B488" s="0" t="n">
        <v>48.84</v>
      </c>
      <c r="C488" s="9" t="n">
        <f aca="false">(B488-B487)/B487</f>
        <v>0.0269133725820017</v>
      </c>
      <c r="D488" s="0" t="n">
        <v>16.32</v>
      </c>
      <c r="E488" s="9" t="n">
        <f aca="false">(D488-D487)/D487</f>
        <v>-0.0642201834862386</v>
      </c>
      <c r="F488" s="0" t="n">
        <v>140.39</v>
      </c>
      <c r="G488" s="9" t="n">
        <f aca="false">(F488-F487)/F487</f>
        <v>0.0176875679594056</v>
      </c>
      <c r="H488" s="0" t="n">
        <f aca="false">AVERAGE(F474:F487)</f>
        <v>136.895</v>
      </c>
      <c r="I488" s="0" t="n">
        <f aca="false">AVERAGE(F481:F487)</f>
        <v>139.03</v>
      </c>
      <c r="J488" s="0" t="n">
        <f aca="false">AVERAGE(F485:F487)</f>
        <v>138.293333333333</v>
      </c>
      <c r="K488" s="10" t="n">
        <v>103.15</v>
      </c>
      <c r="L488" s="9" t="n">
        <f aca="false">(K488-K487)/K487</f>
        <v>0.00585080448561686</v>
      </c>
      <c r="M488" s="10" t="n">
        <v>117.18</v>
      </c>
      <c r="N488" s="9" t="n">
        <f aca="false">(M488-M487)/M487</f>
        <v>-0.0305286671630677</v>
      </c>
      <c r="O488" s="0" t="n">
        <v>2.02</v>
      </c>
      <c r="P488" s="9" t="n">
        <f aca="false">(O488-O487)/O487</f>
        <v>0.0575916230366491</v>
      </c>
      <c r="Q488" s="10" t="n">
        <v>-1.18</v>
      </c>
      <c r="R488" s="9" t="n">
        <f aca="false">(Q488-Q487)/Q487</f>
        <v>0.123809523809524</v>
      </c>
      <c r="S488" s="10" t="n">
        <v>1.98</v>
      </c>
      <c r="T488" s="9" t="n">
        <f aca="false">(S488-S487)/S487</f>
        <v>-0.01</v>
      </c>
      <c r="U488" s="13" t="n">
        <v>1.89</v>
      </c>
      <c r="V488" s="9" t="n">
        <f aca="false">(U488-U487)/U487</f>
        <v>-0.0156249999999999</v>
      </c>
      <c r="W488" s="0" t="n">
        <v>1.3215</v>
      </c>
      <c r="X488" s="23" t="n">
        <f aca="false">(W488-W487)/W487</f>
        <v>0.0109394124847001</v>
      </c>
      <c r="Y488" s="0" t="n">
        <v>1.2014</v>
      </c>
      <c r="Z488" s="24" t="n">
        <f aca="false">(Y488-Y487)/Y487</f>
        <v>-0.00108090130539626</v>
      </c>
    </row>
    <row r="489" customFormat="false" ht="13.8" hidden="false" customHeight="false" outlineLevel="0" collapsed="false">
      <c r="A489" s="8" t="n">
        <v>41029</v>
      </c>
      <c r="B489" s="0" t="n">
        <v>47.18</v>
      </c>
      <c r="C489" s="9" t="n">
        <f aca="false">(B489-B488)/B488</f>
        <v>-0.0339885339885341</v>
      </c>
      <c r="D489" s="0" t="n">
        <v>19.16</v>
      </c>
      <c r="E489" s="9" t="n">
        <f aca="false">(D489-D488)/D488</f>
        <v>0.174019607843137</v>
      </c>
      <c r="F489" s="0" t="n">
        <v>137</v>
      </c>
      <c r="G489" s="9" t="n">
        <f aca="false">(F489-F488)/F488</f>
        <v>-0.0241470190184485</v>
      </c>
      <c r="H489" s="0" t="n">
        <f aca="false">AVERAGE(F475:F488)</f>
        <v>137.497857142857</v>
      </c>
      <c r="I489" s="0" t="n">
        <f aca="false">AVERAGE(F482:F488)</f>
        <v>139.432857142857</v>
      </c>
      <c r="J489" s="0" t="n">
        <f aca="false">AVERAGE(F486:F488)</f>
        <v>138.493333333333</v>
      </c>
      <c r="K489" s="10" t="n">
        <v>103.78</v>
      </c>
      <c r="L489" s="9" t="n">
        <f aca="false">(K489-K488)/K488</f>
        <v>0.00610761027629661</v>
      </c>
      <c r="M489" s="10" t="n">
        <v>118.1</v>
      </c>
      <c r="N489" s="9" t="n">
        <f aca="false">(M489-M488)/M488</f>
        <v>0.00785116914149162</v>
      </c>
      <c r="O489" s="0" t="n">
        <v>2.02</v>
      </c>
      <c r="P489" s="9" t="n">
        <f aca="false">(O489-O488)/O488</f>
        <v>0</v>
      </c>
      <c r="Q489" s="10" t="n">
        <v>-1.2</v>
      </c>
      <c r="R489" s="9" t="n">
        <f aca="false">(Q489-Q488)/Q488</f>
        <v>0.0169491525423729</v>
      </c>
      <c r="S489" s="10" t="n">
        <v>1.95</v>
      </c>
      <c r="T489" s="9" t="n">
        <f aca="false">(S489-S488)/S488</f>
        <v>-0.0151515151515151</v>
      </c>
      <c r="U489" s="13" t="n">
        <v>1.86</v>
      </c>
      <c r="V489" s="9" t="n">
        <f aca="false">(U489-U488)/U488</f>
        <v>-0.015873015873016</v>
      </c>
      <c r="W489" s="0" t="n">
        <v>1.3247</v>
      </c>
      <c r="X489" s="23" t="n">
        <f aca="false">(W489-W488)/W488</f>
        <v>0.00242149073023087</v>
      </c>
      <c r="Y489" s="0" t="n">
        <v>1.2012</v>
      </c>
      <c r="Z489" s="24" t="n">
        <f aca="false">(Y489-Y488)/Y488</f>
        <v>-0.000166472448809704</v>
      </c>
    </row>
    <row r="490" customFormat="false" ht="13.8" hidden="false" customHeight="false" outlineLevel="0" collapsed="false">
      <c r="A490" s="8" t="n">
        <v>41036</v>
      </c>
      <c r="B490" s="0" t="n">
        <v>46.4</v>
      </c>
      <c r="C490" s="9" t="n">
        <f aca="false">(B490-B489)/B489</f>
        <v>-0.016532428995337</v>
      </c>
      <c r="D490" s="0" t="n">
        <v>19.89</v>
      </c>
      <c r="E490" s="9" t="n">
        <f aca="false">(D490-D489)/D489</f>
        <v>0.0381002087682672</v>
      </c>
      <c r="F490" s="0" t="n">
        <v>135.61</v>
      </c>
      <c r="G490" s="9" t="n">
        <f aca="false">(F490-F489)/F489</f>
        <v>-0.0101459854014598</v>
      </c>
      <c r="H490" s="0" t="n">
        <f aca="false">AVERAGE(F476:F489)</f>
        <v>137.867857142857</v>
      </c>
      <c r="I490" s="0" t="n">
        <f aca="false">AVERAGE(F483:F489)</f>
        <v>138.961428571429</v>
      </c>
      <c r="J490" s="0" t="n">
        <f aca="false">AVERAGE(F487:F489)</f>
        <v>138.446666666667</v>
      </c>
      <c r="K490" s="10" t="n">
        <v>103.47</v>
      </c>
      <c r="L490" s="9" t="n">
        <f aca="false">(K490-K489)/K489</f>
        <v>-0.00298708807091927</v>
      </c>
      <c r="M490" s="10" t="n">
        <v>116.67</v>
      </c>
      <c r="N490" s="9" t="n">
        <f aca="false">(M490-M489)/M489</f>
        <v>-0.0121083827265029</v>
      </c>
      <c r="O490" s="0" t="n">
        <v>1.94</v>
      </c>
      <c r="P490" s="9" t="n">
        <f aca="false">(O490-O489)/O489</f>
        <v>-0.0396039603960396</v>
      </c>
      <c r="Q490" s="10" t="n">
        <v>-1.17</v>
      </c>
      <c r="R490" s="9" t="n">
        <f aca="false">(Q490-Q489)/Q489</f>
        <v>-0.025</v>
      </c>
      <c r="S490" s="10" t="n">
        <v>1.88</v>
      </c>
      <c r="T490" s="9" t="n">
        <f aca="false">(S490-S489)/S489</f>
        <v>-0.035897435897436</v>
      </c>
      <c r="U490" s="13" t="n">
        <v>1.78</v>
      </c>
      <c r="V490" s="9" t="n">
        <f aca="false">(U490-U489)/U489</f>
        <v>-0.0430107526881721</v>
      </c>
      <c r="W490" s="0" t="n">
        <v>1.3089</v>
      </c>
      <c r="X490" s="23" t="n">
        <f aca="false">(W490-W489)/W489</f>
        <v>-0.0119272288065223</v>
      </c>
      <c r="Y490" s="0" t="n">
        <v>1.2011</v>
      </c>
      <c r="Z490" s="24" t="n">
        <f aca="false">(Y490-Y489)/Y489</f>
        <v>-8.32500832500741E-005</v>
      </c>
    </row>
    <row r="491" customFormat="false" ht="13.8" hidden="false" customHeight="false" outlineLevel="0" collapsed="false">
      <c r="A491" s="8" t="n">
        <v>41043</v>
      </c>
      <c r="B491" s="0" t="n">
        <v>43.08</v>
      </c>
      <c r="C491" s="9" t="n">
        <f aca="false">(B491-B490)/B490</f>
        <v>-0.071551724137931</v>
      </c>
      <c r="D491" s="0" t="n">
        <v>25.1</v>
      </c>
      <c r="E491" s="9" t="n">
        <f aca="false">(D491-D490)/D490</f>
        <v>0.26194067370538</v>
      </c>
      <c r="F491" s="0" t="n">
        <v>129.74</v>
      </c>
      <c r="G491" s="9" t="n">
        <f aca="false">(F491-F490)/F490</f>
        <v>-0.0432858933706954</v>
      </c>
      <c r="H491" s="0" t="n">
        <f aca="false">AVERAGE(F477:F490)</f>
        <v>137.944285714286</v>
      </c>
      <c r="I491" s="0" t="n">
        <f aca="false">AVERAGE(F484:F490)</f>
        <v>138.384285714286</v>
      </c>
      <c r="J491" s="0" t="n">
        <f aca="false">AVERAGE(F488:F490)</f>
        <v>137.666666666667</v>
      </c>
      <c r="K491" s="10" t="n">
        <v>96.98</v>
      </c>
      <c r="L491" s="9" t="n">
        <f aca="false">(K491-K490)/K490</f>
        <v>-0.0627234947327727</v>
      </c>
      <c r="M491" s="10" t="n">
        <v>111.78</v>
      </c>
      <c r="N491" s="9" t="n">
        <f aca="false">(M491-M490)/M490</f>
        <v>-0.0419130881974801</v>
      </c>
      <c r="O491" s="0" t="n">
        <v>1.89</v>
      </c>
      <c r="P491" s="9" t="n">
        <f aca="false">(O491-O490)/O490</f>
        <v>-0.0257731958762886</v>
      </c>
      <c r="Q491" s="10" t="n">
        <v>-1.15</v>
      </c>
      <c r="R491" s="9" t="n">
        <f aca="false">(Q491-Q490)/Q490</f>
        <v>-0.0170940170940171</v>
      </c>
      <c r="S491" s="10" t="n">
        <v>1.74</v>
      </c>
      <c r="T491" s="9" t="n">
        <f aca="false">(S491-S490)/S490</f>
        <v>-0.0744680851063829</v>
      </c>
      <c r="U491" s="13" t="n">
        <v>1.65</v>
      </c>
      <c r="V491" s="9" t="n">
        <f aca="false">(U491-U490)/U490</f>
        <v>-0.0730337078651685</v>
      </c>
      <c r="W491" s="0" t="n">
        <v>1.2922</v>
      </c>
      <c r="X491" s="23" t="n">
        <f aca="false">(W491-W490)/W490</f>
        <v>-0.012758805103522</v>
      </c>
      <c r="Y491" s="0" t="n">
        <v>1.201</v>
      </c>
      <c r="Z491" s="24" t="n">
        <f aca="false">(Y491-Y490)/Y490</f>
        <v>-8.32570144034543E-005</v>
      </c>
    </row>
    <row r="492" customFormat="false" ht="13.8" hidden="false" customHeight="false" outlineLevel="0" collapsed="false">
      <c r="A492" s="8" t="n">
        <v>41050</v>
      </c>
      <c r="B492" s="0" t="n">
        <v>44.08</v>
      </c>
      <c r="C492" s="9" t="n">
        <f aca="false">(B492-B491)/B491</f>
        <v>0.0232126276694522</v>
      </c>
      <c r="D492" s="0" t="n">
        <v>21.76</v>
      </c>
      <c r="E492" s="9" t="n">
        <f aca="false">(D492-D491)/D491</f>
        <v>-0.133067729083665</v>
      </c>
      <c r="F492" s="0" t="n">
        <v>132.1</v>
      </c>
      <c r="G492" s="9" t="n">
        <f aca="false">(F492-F491)/F491</f>
        <v>0.0181902266070602</v>
      </c>
      <c r="H492" s="0" t="n">
        <f aca="false">AVERAGE(F478:F491)</f>
        <v>137.614285714286</v>
      </c>
      <c r="I492" s="0" t="n">
        <f aca="false">AVERAGE(F485:F491)</f>
        <v>136.802857142857</v>
      </c>
      <c r="J492" s="0" t="n">
        <f aca="false">AVERAGE(F489:F491)</f>
        <v>134.116666666667</v>
      </c>
      <c r="K492" s="10" t="n">
        <v>93.11</v>
      </c>
      <c r="L492" s="9" t="n">
        <f aca="false">(K492-K491)/K491</f>
        <v>-0.0399051350793979</v>
      </c>
      <c r="M492" s="10" t="n">
        <v>109.87</v>
      </c>
      <c r="N492" s="9" t="n">
        <f aca="false">(M492-M491)/M491</f>
        <v>-0.0170871354446233</v>
      </c>
      <c r="O492" s="0" t="n">
        <v>1.82</v>
      </c>
      <c r="P492" s="9" t="n">
        <f aca="false">(O492-O491)/O491</f>
        <v>-0.0370370370370371</v>
      </c>
      <c r="Q492" s="10" t="n">
        <v>-1.06</v>
      </c>
      <c r="R492" s="9" t="n">
        <f aca="false">(Q492-Q491)/Q491</f>
        <v>-0.0782608695652173</v>
      </c>
      <c r="S492" s="10" t="n">
        <v>1.76</v>
      </c>
      <c r="T492" s="9" t="n">
        <f aca="false">(S492-S491)/S491</f>
        <v>0.0114942528735632</v>
      </c>
      <c r="U492" s="13" t="n">
        <v>1.67</v>
      </c>
      <c r="V492" s="9" t="n">
        <f aca="false">(U492-U491)/U491</f>
        <v>0.0121212121212121</v>
      </c>
      <c r="W492" s="0" t="n">
        <v>1.2773</v>
      </c>
      <c r="X492" s="23" t="n">
        <f aca="false">(W492-W491)/W491</f>
        <v>-0.0115307227983284</v>
      </c>
      <c r="Y492" s="0" t="n">
        <v>1.2009</v>
      </c>
      <c r="Z492" s="24" t="n">
        <f aca="false">(Y492-Y491)/Y491</f>
        <v>-8.32639467110649E-005</v>
      </c>
    </row>
    <row r="493" customFormat="false" ht="13.8" hidden="false" customHeight="false" outlineLevel="0" collapsed="false">
      <c r="A493" s="8" t="n">
        <v>41058</v>
      </c>
      <c r="B493" s="0" t="n">
        <v>41.93</v>
      </c>
      <c r="C493" s="9" t="n">
        <f aca="false">(B493-B492)/B492</f>
        <v>-0.0487749546279492</v>
      </c>
      <c r="D493" s="0" t="n">
        <v>26.66</v>
      </c>
      <c r="E493" s="9" t="n">
        <f aca="false">(D493-D492)/D492</f>
        <v>0.225183823529412</v>
      </c>
      <c r="F493" s="0" t="n">
        <v>128.16</v>
      </c>
      <c r="G493" s="9" t="n">
        <f aca="false">(F493-F492)/F492</f>
        <v>-0.0298258894776684</v>
      </c>
      <c r="H493" s="0" t="n">
        <f aca="false">AVERAGE(F479:F492)</f>
        <v>137.306428571429</v>
      </c>
      <c r="I493" s="0" t="n">
        <f aca="false">AVERAGE(F486:F492)</f>
        <v>135.704285714286</v>
      </c>
      <c r="J493" s="0" t="n">
        <f aca="false">AVERAGE(F490:F492)</f>
        <v>132.483333333333</v>
      </c>
      <c r="K493" s="10" t="n">
        <v>90.88</v>
      </c>
      <c r="L493" s="9" t="n">
        <f aca="false">(K493-K492)/K492</f>
        <v>-0.023950166469767</v>
      </c>
      <c r="M493" s="10" t="n">
        <v>108.14</v>
      </c>
      <c r="N493" s="9" t="n">
        <f aca="false">(M493-M492)/M492</f>
        <v>-0.0157458814963139</v>
      </c>
      <c r="O493" s="0" t="n">
        <v>1.72</v>
      </c>
      <c r="P493" s="9" t="n">
        <f aca="false">(O493-O492)/O492</f>
        <v>-0.054945054945055</v>
      </c>
      <c r="Q493" s="10" t="n">
        <v>-1.03</v>
      </c>
      <c r="R493" s="9" t="n">
        <f aca="false">(Q493-Q492)/Q492</f>
        <v>-0.0283018867924529</v>
      </c>
      <c r="S493" s="10" t="n">
        <v>1.61</v>
      </c>
      <c r="T493" s="9" t="n">
        <f aca="false">(S493-S492)/S492</f>
        <v>-0.0852272727272728</v>
      </c>
      <c r="U493" s="13" t="n">
        <v>1.53</v>
      </c>
      <c r="V493" s="9" t="n">
        <f aca="false">(U493-U492)/U492</f>
        <v>-0.0838323353293413</v>
      </c>
      <c r="W493" s="0" t="n">
        <v>1.2518</v>
      </c>
      <c r="X493" s="23" t="n">
        <f aca="false">(W493-W492)/W492</f>
        <v>-0.0199639865340954</v>
      </c>
      <c r="Y493" s="0" t="n">
        <v>1.2011</v>
      </c>
      <c r="Z493" s="24" t="n">
        <f aca="false">(Y493-Y492)/Y492</f>
        <v>0.000166541760346389</v>
      </c>
    </row>
    <row r="494" customFormat="false" ht="13.8" hidden="false" customHeight="false" outlineLevel="0" collapsed="false">
      <c r="A494" s="8" t="n">
        <v>41064</v>
      </c>
      <c r="B494" s="0" t="n">
        <v>43.61</v>
      </c>
      <c r="C494" s="9" t="n">
        <f aca="false">(B494-B493)/B493</f>
        <v>0.0400667779632721</v>
      </c>
      <c r="D494" s="0" t="n">
        <v>21.23</v>
      </c>
      <c r="E494" s="9" t="n">
        <f aca="false">(D494-D493)/D493</f>
        <v>-0.203675918979745</v>
      </c>
      <c r="F494" s="0" t="n">
        <v>133.1</v>
      </c>
      <c r="G494" s="9" t="n">
        <f aca="false">(F494-F493)/F493</f>
        <v>0.03854556803995</v>
      </c>
      <c r="H494" s="0" t="n">
        <f aca="false">AVERAGE(F480:F493)</f>
        <v>136.68</v>
      </c>
      <c r="I494" s="0" t="n">
        <f aca="false">AVERAGE(F487:F493)</f>
        <v>134.421428571429</v>
      </c>
      <c r="J494" s="0" t="n">
        <f aca="false">AVERAGE(F491:F493)</f>
        <v>130</v>
      </c>
      <c r="K494" s="10" t="n">
        <v>87.06</v>
      </c>
      <c r="L494" s="9" t="n">
        <f aca="false">(K494-K493)/K493</f>
        <v>-0.0420334507042253</v>
      </c>
      <c r="M494" s="10" t="n">
        <v>103.47</v>
      </c>
      <c r="N494" s="9" t="n">
        <f aca="false">(M494-M493)/M493</f>
        <v>-0.0431847604956538</v>
      </c>
      <c r="O494" s="0" t="n">
        <v>1.73</v>
      </c>
      <c r="P494" s="9" t="n">
        <f aca="false">(O494-O493)/O493</f>
        <v>0.0058139534883721</v>
      </c>
      <c r="Q494" s="10" t="n">
        <v>-1.03</v>
      </c>
      <c r="R494" s="9" t="n">
        <f aca="false">(Q494-Q493)/Q493</f>
        <v>-0</v>
      </c>
      <c r="S494" s="10" t="n">
        <v>1.61</v>
      </c>
      <c r="T494" s="9" t="n">
        <f aca="false">(S494-S493)/S493</f>
        <v>0</v>
      </c>
      <c r="U494" s="13" t="n">
        <v>1.52</v>
      </c>
      <c r="V494" s="9" t="n">
        <f aca="false">(U494-U493)/U493</f>
        <v>-0.00653594771241831</v>
      </c>
      <c r="W494" s="0" t="n">
        <v>1.2408</v>
      </c>
      <c r="X494" s="23" t="n">
        <f aca="false">(W494-W493)/W493</f>
        <v>-0.00878734622144122</v>
      </c>
      <c r="Y494" s="0" t="n">
        <v>1.2007</v>
      </c>
      <c r="Z494" s="24" t="n">
        <f aca="false">(Y494-Y493)/Y493</f>
        <v>-0.000333028057613817</v>
      </c>
    </row>
    <row r="495" customFormat="false" ht="13.8" hidden="false" customHeight="false" outlineLevel="0" collapsed="false">
      <c r="A495" s="8" t="n">
        <v>41071</v>
      </c>
      <c r="B495" s="0" t="n">
        <v>44.72</v>
      </c>
      <c r="C495" s="9" t="n">
        <f aca="false">(B495-B494)/B494</f>
        <v>0.0254528777803256</v>
      </c>
      <c r="D495" s="0" t="n">
        <v>21.11</v>
      </c>
      <c r="E495" s="9" t="n">
        <f aca="false">(D495-D494)/D494</f>
        <v>-0.00565237870937358</v>
      </c>
      <c r="F495" s="0" t="n">
        <v>134.14</v>
      </c>
      <c r="G495" s="9" t="n">
        <f aca="false">(F495-F494)/F494</f>
        <v>0.00781367392937635</v>
      </c>
      <c r="H495" s="0" t="n">
        <f aca="false">AVERAGE(F481:F494)</f>
        <v>136.379285714286</v>
      </c>
      <c r="I495" s="0" t="n">
        <f aca="false">AVERAGE(F488:F494)</f>
        <v>133.728571428571</v>
      </c>
      <c r="J495" s="0" t="n">
        <f aca="false">AVERAGE(F492:F494)</f>
        <v>131.12</v>
      </c>
      <c r="K495" s="10" t="n">
        <v>84.43</v>
      </c>
      <c r="L495" s="9" t="n">
        <f aca="false">(K495-K494)/K494</f>
        <v>-0.0302090512290374</v>
      </c>
      <c r="M495" s="10" t="n">
        <v>99.03</v>
      </c>
      <c r="N495" s="9" t="n">
        <f aca="false">(M495-M494)/M494</f>
        <v>-0.0429109886923746</v>
      </c>
      <c r="O495" s="0" t="n">
        <v>1.81</v>
      </c>
      <c r="P495" s="9" t="n">
        <f aca="false">(O495-O494)/O494</f>
        <v>0.046242774566474</v>
      </c>
      <c r="Q495" s="10" t="n">
        <v>-1.1</v>
      </c>
      <c r="R495" s="9" t="n">
        <f aca="false">(Q495-Q494)/Q494</f>
        <v>0.0679611650485437</v>
      </c>
      <c r="S495" s="10" t="n">
        <v>1.62</v>
      </c>
      <c r="T495" s="9" t="n">
        <f aca="false">(S495-S494)/S494</f>
        <v>0.00621118012422375</v>
      </c>
      <c r="U495" s="13" t="n">
        <v>1.52</v>
      </c>
      <c r="V495" s="9" t="n">
        <f aca="false">(U495-U494)/U494</f>
        <v>0</v>
      </c>
      <c r="W495" s="0" t="n">
        <v>1.2501</v>
      </c>
      <c r="X495" s="23" t="n">
        <f aca="false">(W495-W494)/W494</f>
        <v>0.0074951644100581</v>
      </c>
      <c r="Y495" s="0" t="n">
        <v>1.2009</v>
      </c>
      <c r="Z495" s="24" t="n">
        <f aca="false">(Y495-Y494)/Y494</f>
        <v>0.000166569501124326</v>
      </c>
    </row>
    <row r="496" customFormat="false" ht="13.8" hidden="false" customHeight="false" outlineLevel="0" collapsed="false">
      <c r="A496" s="8" t="n">
        <v>41078</v>
      </c>
      <c r="B496" s="0" t="n">
        <v>45.09</v>
      </c>
      <c r="C496" s="9" t="n">
        <f aca="false">(B496-B495)/B495</f>
        <v>0.008273703041145</v>
      </c>
      <c r="D496" s="0" t="n">
        <v>18.11</v>
      </c>
      <c r="E496" s="9" t="n">
        <f aca="false">(D496-D495)/D495</f>
        <v>-0.142112742775936</v>
      </c>
      <c r="F496" s="0" t="n">
        <v>133.46</v>
      </c>
      <c r="G496" s="9" t="n">
        <f aca="false">(F496-F495)/F495</f>
        <v>-0.0050693305501713</v>
      </c>
      <c r="H496" s="0" t="n">
        <f aca="false">AVERAGE(F482:F495)</f>
        <v>136.134285714286</v>
      </c>
      <c r="I496" s="0" t="n">
        <f aca="false">AVERAGE(F489:F495)</f>
        <v>132.835714285714</v>
      </c>
      <c r="J496" s="0" t="n">
        <f aca="false">AVERAGE(F493:F495)</f>
        <v>131.8</v>
      </c>
      <c r="K496" s="10" t="n">
        <v>83.27</v>
      </c>
      <c r="L496" s="9" t="n">
        <f aca="false">(K496-K495)/K495</f>
        <v>-0.01373919223025</v>
      </c>
      <c r="M496" s="10" t="n">
        <v>97.21</v>
      </c>
      <c r="N496" s="9" t="n">
        <f aca="false">(M496-M495)/M495</f>
        <v>-0.0183782692113502</v>
      </c>
      <c r="O496" s="0" t="n">
        <v>1.83</v>
      </c>
      <c r="P496" s="9" t="n">
        <f aca="false">(O496-O495)/O495</f>
        <v>0.0110497237569061</v>
      </c>
      <c r="Q496" s="10" t="n">
        <v>-1.1</v>
      </c>
      <c r="R496" s="9" t="n">
        <f aca="false">(Q496-Q495)/Q495</f>
        <v>-0</v>
      </c>
      <c r="S496" s="10" t="n">
        <v>1.64</v>
      </c>
      <c r="T496" s="9" t="n">
        <f aca="false">(S496-S495)/S495</f>
        <v>0.0123456790123457</v>
      </c>
      <c r="U496" s="13" t="n">
        <v>1.55</v>
      </c>
      <c r="V496" s="9" t="n">
        <f aca="false">(U496-U495)/U495</f>
        <v>0.019736842105263</v>
      </c>
      <c r="W496" s="0" t="n">
        <v>1.2645</v>
      </c>
      <c r="X496" s="23" t="n">
        <f aca="false">(W496-W495)/W495</f>
        <v>0.0115190784737221</v>
      </c>
      <c r="Y496" s="0" t="n">
        <v>1.201</v>
      </c>
      <c r="Z496" s="24" t="n">
        <f aca="false">(Y496-Y495)/Y495</f>
        <v>8.32708801731942E-005</v>
      </c>
    </row>
    <row r="497" customFormat="false" ht="13.8" hidden="false" customHeight="false" outlineLevel="0" collapsed="false">
      <c r="A497" s="8" t="n">
        <v>41085</v>
      </c>
      <c r="B497" s="0" t="n">
        <v>45.79</v>
      </c>
      <c r="C497" s="9" t="n">
        <f aca="false">(B497-B496)/B496</f>
        <v>0.0155245065424705</v>
      </c>
      <c r="D497" s="0" t="n">
        <v>17.08</v>
      </c>
      <c r="E497" s="9" t="n">
        <f aca="false">(D497-D496)/D496</f>
        <v>-0.0568746548868029</v>
      </c>
      <c r="F497" s="0" t="n">
        <v>136.1</v>
      </c>
      <c r="G497" s="9" t="n">
        <f aca="false">(F497-F496)/F496</f>
        <v>0.01978120785254</v>
      </c>
      <c r="H497" s="0" t="n">
        <f aca="false">AVERAGE(F483:F496)</f>
        <v>135.645714285714</v>
      </c>
      <c r="I497" s="0" t="n">
        <f aca="false">AVERAGE(F490:F496)</f>
        <v>132.33</v>
      </c>
      <c r="J497" s="0" t="n">
        <f aca="false">AVERAGE(F494:F496)</f>
        <v>133.566666666667</v>
      </c>
      <c r="K497" s="10" t="n">
        <v>81.11</v>
      </c>
      <c r="L497" s="9" t="n">
        <f aca="false">(K497-K496)/K496</f>
        <v>-0.0259397141827789</v>
      </c>
      <c r="M497" s="10" t="n">
        <v>92.46</v>
      </c>
      <c r="N497" s="9" t="n">
        <f aca="false">(M497-M496)/M496</f>
        <v>-0.0488632856701985</v>
      </c>
      <c r="O497" s="0" t="n">
        <v>1.69</v>
      </c>
      <c r="P497" s="9" t="n">
        <f aca="false">(O497-O496)/O496</f>
        <v>-0.0765027322404372</v>
      </c>
      <c r="Q497" s="10" t="n">
        <v>-0.97</v>
      </c>
      <c r="R497" s="9" t="n">
        <f aca="false">(Q497-Q496)/Q496</f>
        <v>-0.118181818181818</v>
      </c>
      <c r="S497" s="10" t="n">
        <v>1.64</v>
      </c>
      <c r="T497" s="9" t="n">
        <f aca="false">(S497-S496)/S496</f>
        <v>0</v>
      </c>
      <c r="U497" s="13" t="n">
        <v>1.55</v>
      </c>
      <c r="V497" s="9" t="n">
        <f aca="false">(U497-U496)/U496</f>
        <v>0</v>
      </c>
      <c r="W497" s="0" t="n">
        <v>1.2565</v>
      </c>
      <c r="X497" s="23" t="n">
        <f aca="false">(W497-W496)/W496</f>
        <v>-0.00632661130881772</v>
      </c>
      <c r="Y497" s="0" t="n">
        <v>1.2008</v>
      </c>
      <c r="Z497" s="24" t="n">
        <f aca="false">(Y497-Y496)/Y496</f>
        <v>-0.00016652789342213</v>
      </c>
    </row>
    <row r="498" customFormat="false" ht="13.8" hidden="false" customHeight="false" outlineLevel="0" collapsed="false">
      <c r="A498" s="8" t="n">
        <v>41092</v>
      </c>
      <c r="B498" s="0" t="n">
        <v>45.19</v>
      </c>
      <c r="C498" s="9" t="n">
        <f aca="false">(B498-B497)/B497</f>
        <v>-0.0131032976632453</v>
      </c>
      <c r="D498" s="0" t="n">
        <v>17.1</v>
      </c>
      <c r="E498" s="9" t="n">
        <f aca="false">(D498-D497)/D497</f>
        <v>0.00117096018735381</v>
      </c>
      <c r="F498" s="0" t="n">
        <v>135.49</v>
      </c>
      <c r="G498" s="9" t="n">
        <f aca="false">(F498-F497)/F497</f>
        <v>-0.00448199853049218</v>
      </c>
      <c r="H498" s="0" t="n">
        <f aca="false">AVERAGE(F484:F497)</f>
        <v>135.392142857143</v>
      </c>
      <c r="I498" s="0" t="n">
        <f aca="false">AVERAGE(F491:F497)</f>
        <v>132.4</v>
      </c>
      <c r="J498" s="0" t="n">
        <f aca="false">AVERAGE(F495:F497)</f>
        <v>134.566666666667</v>
      </c>
      <c r="K498" s="10" t="n">
        <v>80.23</v>
      </c>
      <c r="L498" s="9" t="n">
        <f aca="false">(K498-K497)/K497</f>
        <v>-0.0108494636912834</v>
      </c>
      <c r="M498" s="10" t="n">
        <v>91.23</v>
      </c>
      <c r="N498" s="9" t="n">
        <f aca="false">(M498-M497)/M497</f>
        <v>-0.0133030499675534</v>
      </c>
      <c r="O498" s="0" t="n">
        <v>1.76</v>
      </c>
      <c r="P498" s="9" t="n">
        <f aca="false">(O498-O497)/O497</f>
        <v>0.0414201183431954</v>
      </c>
      <c r="Q498" s="10" t="n">
        <v>-1.09</v>
      </c>
      <c r="R498" s="9" t="n">
        <f aca="false">(Q498-Q497)/Q497</f>
        <v>0.123711340206186</v>
      </c>
      <c r="S498" s="10" t="n">
        <v>1.61</v>
      </c>
      <c r="T498" s="9" t="n">
        <f aca="false">(S498-S497)/S497</f>
        <v>-0.0182926829268294</v>
      </c>
      <c r="U498" s="13" t="n">
        <v>1.52</v>
      </c>
      <c r="V498" s="9" t="n">
        <f aca="false">(U498-U497)/U497</f>
        <v>-0.0193548387096773</v>
      </c>
      <c r="W498" s="0" t="n">
        <v>1.2654</v>
      </c>
      <c r="X498" s="23" t="n">
        <f aca="false">(W498-W497)/W497</f>
        <v>0.00708316752885008</v>
      </c>
      <c r="Y498" s="0" t="n">
        <v>1.201</v>
      </c>
      <c r="Z498" s="24" t="n">
        <f aca="false">(Y498-Y497)/Y497</f>
        <v>0.000166555629580261</v>
      </c>
    </row>
    <row r="499" customFormat="false" ht="13.8" hidden="false" customHeight="false" outlineLevel="0" collapsed="false">
      <c r="A499" s="8" t="n">
        <v>41099</v>
      </c>
      <c r="B499" s="0" t="n">
        <v>45.91</v>
      </c>
      <c r="C499" s="9" t="n">
        <f aca="false">(B499-B498)/B498</f>
        <v>0.0159327284797521</v>
      </c>
      <c r="D499" s="0" t="n">
        <v>16.74</v>
      </c>
      <c r="E499" s="9" t="n">
        <f aca="false">(D499-D498)/D498</f>
        <v>-0.0210526315789475</v>
      </c>
      <c r="F499" s="0" t="n">
        <v>135.75</v>
      </c>
      <c r="G499" s="9" t="n">
        <f aca="false">(F499-F498)/F498</f>
        <v>0.00191896080891572</v>
      </c>
      <c r="H499" s="0" t="n">
        <f aca="false">AVERAGE(F485:F498)</f>
        <v>135.012142857143</v>
      </c>
      <c r="I499" s="0" t="n">
        <f aca="false">AVERAGE(F492:F498)</f>
        <v>133.221428571429</v>
      </c>
      <c r="J499" s="0" t="n">
        <f aca="false">AVERAGE(F496:F498)</f>
        <v>135.016666666667</v>
      </c>
      <c r="K499" s="10" t="n">
        <v>85.74</v>
      </c>
      <c r="L499" s="9" t="n">
        <f aca="false">(K499-K498)/K498</f>
        <v>0.0686775520378909</v>
      </c>
      <c r="M499" s="10" t="n">
        <v>98.8</v>
      </c>
      <c r="N499" s="9" t="n">
        <f aca="false">(M499-M498)/M498</f>
        <v>0.0829770908692315</v>
      </c>
      <c r="O499" s="0" t="n">
        <v>1.78</v>
      </c>
      <c r="P499" s="9" t="n">
        <f aca="false">(O499-O498)/O498</f>
        <v>0.0113636363636361</v>
      </c>
      <c r="Q499" s="10" t="n">
        <v>-1.15</v>
      </c>
      <c r="R499" s="9" t="n">
        <f aca="false">(Q499-Q498)/Q498</f>
        <v>0.0550458715596329</v>
      </c>
      <c r="S499" s="10" t="n">
        <v>1.52</v>
      </c>
      <c r="T499" s="9" t="n">
        <f aca="false">(S499-S498)/S498</f>
        <v>-0.0559006211180123</v>
      </c>
      <c r="U499" s="13" t="n">
        <v>1.42</v>
      </c>
      <c r="V499" s="9" t="n">
        <f aca="false">(U499-U498)/U498</f>
        <v>-0.0657894736842106</v>
      </c>
      <c r="W499" s="0" t="n">
        <v>1.2275</v>
      </c>
      <c r="X499" s="23" t="n">
        <f aca="false">(W499-W498)/W498</f>
        <v>-0.0299510036352142</v>
      </c>
      <c r="Y499" s="0" t="n">
        <v>1.2008</v>
      </c>
      <c r="Z499" s="24" t="n">
        <f aca="false">(Y499-Y498)/Y498</f>
        <v>-0.00016652789342213</v>
      </c>
    </row>
    <row r="500" customFormat="false" ht="13.8" hidden="false" customHeight="false" outlineLevel="0" collapsed="false">
      <c r="A500" s="8" t="n">
        <v>41106</v>
      </c>
      <c r="B500" s="0" t="n">
        <v>44.87</v>
      </c>
      <c r="C500" s="9" t="n">
        <f aca="false">(B500-B499)/B499</f>
        <v>-0.0226530167719451</v>
      </c>
      <c r="D500" s="0" t="n">
        <v>16.27</v>
      </c>
      <c r="E500" s="9" t="n">
        <f aca="false">(D500-D499)/D499</f>
        <v>-0.0280764635603345</v>
      </c>
      <c r="F500" s="0" t="n">
        <v>136.47</v>
      </c>
      <c r="G500" s="9" t="n">
        <f aca="false">(F500-F499)/F499</f>
        <v>0.00530386740331491</v>
      </c>
      <c r="H500" s="0" t="n">
        <f aca="false">AVERAGE(F486:F499)</f>
        <v>134.723571428571</v>
      </c>
      <c r="I500" s="0" t="n">
        <f aca="false">AVERAGE(F493:F499)</f>
        <v>133.742857142857</v>
      </c>
      <c r="J500" s="0" t="n">
        <f aca="false">AVERAGE(F497:F499)</f>
        <v>135.78</v>
      </c>
      <c r="K500" s="10" t="n">
        <v>85.78</v>
      </c>
      <c r="L500" s="9" t="n">
        <f aca="false">(K500-K499)/K499</f>
        <v>0.000466526708654143</v>
      </c>
      <c r="M500" s="10" t="n">
        <v>99.88</v>
      </c>
      <c r="N500" s="9" t="n">
        <f aca="false">(M500-M499)/M499</f>
        <v>0.0109311740890688</v>
      </c>
      <c r="O500" s="0" t="n">
        <v>1.79</v>
      </c>
      <c r="P500" s="9" t="n">
        <f aca="false">(O500-O499)/O499</f>
        <v>0.00561797752809002</v>
      </c>
      <c r="Q500" s="10" t="n">
        <v>-1.18</v>
      </c>
      <c r="R500" s="9" t="n">
        <f aca="false">(Q500-Q499)/Q499</f>
        <v>0.0260869565217392</v>
      </c>
      <c r="S500" s="10" t="n">
        <v>1.52</v>
      </c>
      <c r="T500" s="9" t="n">
        <f aca="false">(S500-S499)/S499</f>
        <v>0</v>
      </c>
      <c r="U500" s="13" t="n">
        <v>1.43</v>
      </c>
      <c r="V500" s="9" t="n">
        <f aca="false">(U500-U499)/U499</f>
        <v>0.00704225352112677</v>
      </c>
      <c r="W500" s="0" t="n">
        <v>1.224</v>
      </c>
      <c r="X500" s="23" t="n">
        <f aca="false">(W500-W499)/W499</f>
        <v>-0.00285132382892062</v>
      </c>
      <c r="Y500" s="0" t="n">
        <v>1.2008</v>
      </c>
      <c r="Z500" s="24" t="n">
        <f aca="false">(Y500-Y499)/Y499</f>
        <v>0</v>
      </c>
    </row>
    <row r="501" customFormat="false" ht="13.8" hidden="false" customHeight="false" outlineLevel="0" collapsed="false">
      <c r="A501" s="8" t="n">
        <v>41113</v>
      </c>
      <c r="B501" s="0" t="n">
        <v>46.1</v>
      </c>
      <c r="C501" s="9" t="n">
        <f aca="false">(B501-B500)/B500</f>
        <v>0.0274125250724316</v>
      </c>
      <c r="D501" s="0" t="n">
        <v>16.7</v>
      </c>
      <c r="E501" s="9" t="n">
        <f aca="false">(D501-D500)/D500</f>
        <v>0.0264290104486785</v>
      </c>
      <c r="F501" s="0" t="n">
        <v>138.68</v>
      </c>
      <c r="G501" s="9" t="n">
        <f aca="false">(F501-F500)/F500</f>
        <v>0.0161940353191178</v>
      </c>
      <c r="H501" s="0" t="n">
        <f aca="false">AVERAGE(F487:F500)</f>
        <v>134.675714285714</v>
      </c>
      <c r="I501" s="0" t="n">
        <f aca="false">AVERAGE(F494:F500)</f>
        <v>134.93</v>
      </c>
      <c r="J501" s="0" t="n">
        <f aca="false">AVERAGE(F498:F500)</f>
        <v>135.903333333333</v>
      </c>
      <c r="K501" s="10" t="n">
        <v>90.34</v>
      </c>
      <c r="L501" s="9" t="n">
        <f aca="false">(K501-K500)/K500</f>
        <v>0.053159244579156</v>
      </c>
      <c r="M501" s="10" t="n">
        <v>105.4</v>
      </c>
      <c r="N501" s="9" t="n">
        <f aca="false">(M501-M500)/M500</f>
        <v>0.0552663195835003</v>
      </c>
      <c r="O501" s="0" t="n">
        <v>1.73</v>
      </c>
      <c r="P501" s="9" t="n">
        <f aca="false">(O501-O500)/O500</f>
        <v>-0.0335195530726257</v>
      </c>
      <c r="Q501" s="10" t="n">
        <v>-1.14</v>
      </c>
      <c r="R501" s="9" t="n">
        <f aca="false">(Q501-Q500)/Q500</f>
        <v>-0.0338983050847458</v>
      </c>
      <c r="S501" s="10" t="n">
        <v>1.47</v>
      </c>
      <c r="T501" s="9" t="n">
        <f aca="false">(S501-S500)/S500</f>
        <v>-0.0328947368421053</v>
      </c>
      <c r="U501" s="13" t="n">
        <v>1.37</v>
      </c>
      <c r="V501" s="9" t="n">
        <f aca="false">(U501-U500)/U500</f>
        <v>-0.041958041958042</v>
      </c>
      <c r="W501" s="0" t="n">
        <v>1.2164</v>
      </c>
      <c r="X501" s="23" t="n">
        <f aca="false">(W501-W500)/W500</f>
        <v>-0.00620915032679743</v>
      </c>
      <c r="Y501" s="0" t="n">
        <v>1.2009</v>
      </c>
      <c r="Z501" s="24" t="n">
        <f aca="false">(Y501-Y500)/Y500</f>
        <v>8.32778147901307E-005</v>
      </c>
    </row>
    <row r="502" customFormat="false" ht="13.8" hidden="false" customHeight="false" outlineLevel="0" collapsed="false">
      <c r="A502" s="25" t="n">
        <v>41120</v>
      </c>
      <c r="B502" s="26" t="n">
        <v>45.72</v>
      </c>
      <c r="C502" s="27" t="n">
        <f aca="false">(B502-B501)/B501</f>
        <v>-0.00824295010845993</v>
      </c>
      <c r="D502" s="26" t="n">
        <v>15.64</v>
      </c>
      <c r="E502" s="27" t="n">
        <f aca="false">(D502-D501)/D501</f>
        <v>-0.0634730538922155</v>
      </c>
      <c r="F502" s="26" t="n">
        <v>139.35</v>
      </c>
      <c r="G502" s="27" t="n">
        <f aca="false">(F502-F501)/F501</f>
        <v>0.00483126622440141</v>
      </c>
      <c r="H502" s="26" t="n">
        <f aca="false">AVERAGE(F488:F501)</f>
        <v>134.727857142857</v>
      </c>
      <c r="I502" s="28" t="n">
        <f aca="false">AVERAGE(F495:F501)</f>
        <v>135.727142857143</v>
      </c>
      <c r="J502" s="29" t="n">
        <f aca="false">AVERAGE(F499:F501)</f>
        <v>136.966666666667</v>
      </c>
      <c r="K502" s="30" t="n">
        <v>88.88</v>
      </c>
      <c r="L502" s="27" t="n">
        <f aca="false">(K502-K501)/K501</f>
        <v>-0.0161611689174232</v>
      </c>
      <c r="M502" s="30" t="n">
        <v>104.18</v>
      </c>
      <c r="N502" s="31" t="n">
        <f aca="false">(M502-M501)/M501</f>
        <v>-0.0115749525616698</v>
      </c>
      <c r="O502" s="26" t="n">
        <v>1.83</v>
      </c>
      <c r="P502" s="27" t="n">
        <f aca="false">(O502-O501)/O501</f>
        <v>0.0578034682080925</v>
      </c>
      <c r="Q502" s="30" t="n">
        <v>-1.21</v>
      </c>
      <c r="R502" s="27" t="n">
        <f aca="false">(Q502-Q501)/Q501</f>
        <v>0.0614035087719299</v>
      </c>
      <c r="S502" s="30" t="n">
        <v>1.54</v>
      </c>
      <c r="T502" s="31" t="n">
        <f aca="false">(S502-S501)/S501</f>
        <v>0.0476190476190477</v>
      </c>
      <c r="U502" s="32" t="n">
        <v>1.44</v>
      </c>
      <c r="V502" s="27" t="n">
        <f aca="false">(U502-U501)/U501</f>
        <v>0.051094890510949</v>
      </c>
      <c r="W502" s="26" t="n">
        <v>1.2317</v>
      </c>
      <c r="X502" s="33" t="n">
        <f aca="false">(W502-W501)/W501</f>
        <v>0.0125780993094378</v>
      </c>
      <c r="Y502" s="26" t="n">
        <v>1.201</v>
      </c>
      <c r="Z502" s="34" t="n">
        <f aca="false">(Y502-Y501)/Y501</f>
        <v>8.32708801731942E-005</v>
      </c>
    </row>
    <row r="503" customFormat="false" ht="13.8" hidden="false" customHeight="false" outlineLevel="0" collapsed="false">
      <c r="A503" s="35"/>
      <c r="C503" s="9"/>
      <c r="E503" s="9"/>
      <c r="G503" s="9"/>
      <c r="K503" s="10"/>
      <c r="L503" s="9"/>
      <c r="M503" s="10"/>
      <c r="N503" s="9"/>
      <c r="P503" s="9"/>
      <c r="Q503" s="10"/>
      <c r="R503" s="9"/>
      <c r="T503" s="10"/>
      <c r="U503" s="13"/>
      <c r="V503" s="9"/>
      <c r="Z503" s="36"/>
      <c r="AA503" s="36"/>
    </row>
    <row r="504" customFormat="false" ht="13.8" hidden="false" customHeight="false" outlineLevel="0" collapsed="false">
      <c r="A504" s="35"/>
      <c r="C504" s="9"/>
      <c r="E504" s="9"/>
      <c r="G504" s="9"/>
      <c r="K504" s="10"/>
      <c r="L504" s="9"/>
      <c r="M504" s="10"/>
      <c r="N504" s="9"/>
      <c r="P504" s="9"/>
      <c r="Q504" s="10"/>
      <c r="R504" s="9"/>
      <c r="T504" s="10"/>
      <c r="U504" s="13"/>
      <c r="V504" s="9"/>
      <c r="Z504" s="36"/>
      <c r="AA504" s="36"/>
    </row>
    <row r="505" customFormat="false" ht="13.8" hidden="false" customHeight="false" outlineLevel="0" collapsed="false">
      <c r="A505" s="35"/>
      <c r="C505" s="9"/>
      <c r="E505" s="9"/>
      <c r="G505" s="9"/>
      <c r="K505" s="10"/>
      <c r="L505" s="9"/>
      <c r="M505" s="10"/>
      <c r="N505" s="9"/>
      <c r="P505" s="9"/>
      <c r="Q505" s="10"/>
      <c r="R505" s="9"/>
      <c r="T505" s="10"/>
      <c r="U505" s="13"/>
      <c r="V505" s="9"/>
      <c r="Z505" s="36"/>
      <c r="AA505" s="36"/>
    </row>
    <row r="506" customFormat="false" ht="13.8" hidden="false" customHeight="false" outlineLevel="0" collapsed="false">
      <c r="A506" s="35"/>
      <c r="C506" s="9"/>
      <c r="E506" s="9"/>
      <c r="G506" s="9"/>
      <c r="K506" s="10"/>
      <c r="L506" s="9"/>
      <c r="M506" s="10"/>
      <c r="N506" s="9"/>
      <c r="P506" s="9"/>
      <c r="Q506" s="10"/>
      <c r="R506" s="9"/>
      <c r="T506" s="10"/>
      <c r="U506" s="13"/>
      <c r="V506" s="9"/>
      <c r="Z506" s="36"/>
      <c r="AA506" s="36"/>
    </row>
    <row r="507" customFormat="false" ht="13.8" hidden="false" customHeight="false" outlineLevel="0" collapsed="false">
      <c r="A507" s="35"/>
      <c r="C507" s="9"/>
      <c r="E507" s="9"/>
      <c r="G507" s="9"/>
      <c r="K507" s="10"/>
      <c r="L507" s="9"/>
      <c r="M507" s="10"/>
      <c r="N507" s="9"/>
      <c r="P507" s="9"/>
      <c r="Q507" s="10"/>
      <c r="R507" s="9"/>
      <c r="T507" s="10"/>
      <c r="U507" s="13"/>
      <c r="V507" s="9"/>
      <c r="Z507" s="36"/>
      <c r="AA507" s="36"/>
    </row>
    <row r="508" customFormat="false" ht="13.8" hidden="false" customHeight="false" outlineLevel="0" collapsed="false">
      <c r="A508" s="35"/>
      <c r="C508" s="9"/>
      <c r="E508" s="9"/>
      <c r="G508" s="9"/>
      <c r="K508" s="10"/>
      <c r="L508" s="9"/>
      <c r="M508" s="10"/>
      <c r="N508" s="9"/>
      <c r="P508" s="9"/>
      <c r="Q508" s="10"/>
      <c r="R508" s="9"/>
      <c r="T508" s="10"/>
      <c r="U508" s="13"/>
      <c r="V508" s="9"/>
      <c r="Z508" s="36"/>
      <c r="AA508" s="36"/>
    </row>
    <row r="509" customFormat="false" ht="13.8" hidden="false" customHeight="false" outlineLevel="0" collapsed="false">
      <c r="A509" s="35"/>
      <c r="C509" s="9"/>
      <c r="E509" s="9"/>
      <c r="G509" s="9" t="s">
        <v>26</v>
      </c>
      <c r="K509" s="10"/>
      <c r="L509" s="9"/>
      <c r="M509" s="10"/>
      <c r="N509" s="9"/>
      <c r="P509" s="9"/>
      <c r="Q509" s="10"/>
      <c r="R509" s="9"/>
      <c r="T509" s="10"/>
      <c r="U509" s="13"/>
      <c r="V509" s="9"/>
      <c r="Z509" s="36"/>
      <c r="AA509" s="3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F518"/>
  <sheetViews>
    <sheetView showFormulas="false" showGridLines="true" showRowColHeaders="true" showZeros="true" rightToLeft="false" tabSelected="false" showOutlineSymbols="true" defaultGridColor="true" view="normal" topLeftCell="A242" colorId="64" zoomScale="100" zoomScaleNormal="100" zoomScalePageLayoutView="100" workbookViewId="0">
      <selection pane="topLeft" activeCell="G321" activeCellId="0" sqref="G321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11.99"/>
    <col collapsed="false" customWidth="true" hidden="false" outlineLevel="0" max="1025" min="3" style="0" width="8.67"/>
  </cols>
  <sheetData>
    <row r="1" customFormat="false" ht="15" hidden="false" customHeight="false" outlineLevel="0" collapsed="false">
      <c r="C1" s="0" t="s">
        <v>27</v>
      </c>
      <c r="D1" s="0" t="s">
        <v>28</v>
      </c>
      <c r="E1" s="0" t="s">
        <v>29</v>
      </c>
    </row>
    <row r="2" customFormat="false" ht="15" hidden="false" customHeight="false" outlineLevel="0" collapsed="false">
      <c r="B2" s="37" t="n">
        <v>37624</v>
      </c>
      <c r="C2" s="38" t="n">
        <v>1.2</v>
      </c>
      <c r="D2" s="10" t="n">
        <v>3.94</v>
      </c>
      <c r="E2" s="13" t="n">
        <f aca="false">D2-C2</f>
        <v>2.74</v>
      </c>
    </row>
    <row r="3" customFormat="false" ht="15" hidden="false" customHeight="false" outlineLevel="0" collapsed="false">
      <c r="B3" s="37" t="n">
        <v>37631</v>
      </c>
      <c r="C3" s="38" t="n">
        <v>1.18</v>
      </c>
      <c r="D3" s="10" t="n">
        <v>4.1</v>
      </c>
      <c r="E3" s="13" t="n">
        <f aca="false">D3-C3</f>
        <v>2.92</v>
      </c>
    </row>
    <row r="4" customFormat="false" ht="15" hidden="false" customHeight="false" outlineLevel="0" collapsed="false">
      <c r="B4" s="37" t="n">
        <v>37638</v>
      </c>
      <c r="C4" s="38" t="n">
        <v>1.17</v>
      </c>
      <c r="D4" s="10" t="n">
        <v>4.1</v>
      </c>
      <c r="E4" s="13" t="n">
        <f aca="false">D4-C4</f>
        <v>2.93</v>
      </c>
    </row>
    <row r="5" customFormat="false" ht="15" hidden="false" customHeight="false" outlineLevel="0" collapsed="false">
      <c r="B5" s="37" t="n">
        <v>37645</v>
      </c>
      <c r="C5" s="38" t="n">
        <v>1.15</v>
      </c>
      <c r="D5" s="10" t="n">
        <v>3.97</v>
      </c>
      <c r="E5" s="13" t="n">
        <f aca="false">D5-C5</f>
        <v>2.82</v>
      </c>
    </row>
    <row r="6" customFormat="false" ht="15" hidden="false" customHeight="false" outlineLevel="0" collapsed="false">
      <c r="B6" s="37" t="n">
        <v>37652</v>
      </c>
      <c r="C6" s="38" t="n">
        <v>1.16</v>
      </c>
      <c r="D6" s="10" t="n">
        <v>4.01</v>
      </c>
      <c r="E6" s="13" t="n">
        <f aca="false">D6-C6</f>
        <v>2.85</v>
      </c>
    </row>
    <row r="7" customFormat="false" ht="15" hidden="false" customHeight="false" outlineLevel="0" collapsed="false">
      <c r="B7" s="37" t="n">
        <v>37659</v>
      </c>
      <c r="C7" s="38" t="n">
        <v>1.15</v>
      </c>
      <c r="D7" s="10" t="n">
        <v>3.98</v>
      </c>
      <c r="E7" s="13" t="n">
        <f aca="false">D7-C7</f>
        <v>2.83</v>
      </c>
    </row>
    <row r="8" customFormat="false" ht="15" hidden="false" customHeight="false" outlineLevel="0" collapsed="false">
      <c r="B8" s="37" t="n">
        <v>37666</v>
      </c>
      <c r="C8" s="38" t="n">
        <v>1.16</v>
      </c>
      <c r="D8" s="10" t="n">
        <v>3.95</v>
      </c>
      <c r="E8" s="13" t="n">
        <f aca="false">D8-C8</f>
        <v>2.79</v>
      </c>
    </row>
    <row r="9" customFormat="false" ht="15" hidden="false" customHeight="false" outlineLevel="0" collapsed="false">
      <c r="B9" s="37" t="n">
        <v>37673</v>
      </c>
      <c r="C9" s="38" t="n">
        <v>1.17</v>
      </c>
      <c r="D9" s="10" t="n">
        <v>3.89</v>
      </c>
      <c r="E9" s="13" t="n">
        <f aca="false">D9-C9</f>
        <v>2.72</v>
      </c>
    </row>
    <row r="10" customFormat="false" ht="15" hidden="false" customHeight="false" outlineLevel="0" collapsed="false">
      <c r="B10" s="37" t="n">
        <v>37680</v>
      </c>
      <c r="C10" s="38" t="n">
        <v>1.19</v>
      </c>
      <c r="D10" s="10" t="n">
        <v>3.78</v>
      </c>
      <c r="E10" s="13" t="n">
        <f aca="false">D10-C10</f>
        <v>2.59</v>
      </c>
    </row>
    <row r="11" customFormat="false" ht="15" hidden="false" customHeight="false" outlineLevel="0" collapsed="false">
      <c r="B11" s="37" t="n">
        <v>37687</v>
      </c>
      <c r="C11" s="38" t="n">
        <v>1.15</v>
      </c>
      <c r="D11" s="10" t="n">
        <v>3.65</v>
      </c>
      <c r="E11" s="13" t="n">
        <f aca="false">D11-C11</f>
        <v>2.5</v>
      </c>
    </row>
    <row r="12" customFormat="false" ht="15" hidden="false" customHeight="false" outlineLevel="0" collapsed="false">
      <c r="B12" s="37" t="n">
        <v>37694</v>
      </c>
      <c r="C12" s="38" t="n">
        <v>1.09</v>
      </c>
      <c r="D12" s="10" t="n">
        <v>3.65</v>
      </c>
      <c r="E12" s="13" t="n">
        <f aca="false">D12-C12</f>
        <v>2.56</v>
      </c>
    </row>
    <row r="13" customFormat="false" ht="15" hidden="false" customHeight="false" outlineLevel="0" collapsed="false">
      <c r="B13" s="37" t="n">
        <v>37701</v>
      </c>
      <c r="C13" s="38" t="n">
        <v>1.14</v>
      </c>
      <c r="D13" s="10" t="n">
        <v>3.97</v>
      </c>
      <c r="E13" s="13" t="n">
        <f aca="false">D13-C13</f>
        <v>2.83</v>
      </c>
    </row>
    <row r="14" customFormat="false" ht="15" hidden="false" customHeight="false" outlineLevel="0" collapsed="false">
      <c r="B14" s="37" t="n">
        <v>37708</v>
      </c>
      <c r="C14" s="38" t="n">
        <v>1.15</v>
      </c>
      <c r="D14" s="10" t="n">
        <v>3.96</v>
      </c>
      <c r="E14" s="13" t="n">
        <f aca="false">D14-C14</f>
        <v>2.81</v>
      </c>
    </row>
    <row r="15" customFormat="false" ht="15" hidden="false" customHeight="false" outlineLevel="0" collapsed="false">
      <c r="B15" s="37" t="n">
        <v>37715</v>
      </c>
      <c r="C15" s="38" t="n">
        <v>1.1</v>
      </c>
      <c r="D15" s="10" t="n">
        <v>3.9</v>
      </c>
      <c r="E15" s="13" t="n">
        <f aca="false">D15-C15</f>
        <v>2.8</v>
      </c>
    </row>
    <row r="16" customFormat="false" ht="15" hidden="false" customHeight="false" outlineLevel="0" collapsed="false">
      <c r="B16" s="37" t="n">
        <v>37722</v>
      </c>
      <c r="C16" s="38" t="n">
        <v>1.13</v>
      </c>
      <c r="D16" s="10" t="n">
        <v>3.97</v>
      </c>
      <c r="E16" s="13" t="n">
        <f aca="false">D16-C16</f>
        <v>2.84</v>
      </c>
    </row>
    <row r="17" customFormat="false" ht="15" hidden="false" customHeight="false" outlineLevel="0" collapsed="false">
      <c r="B17" s="37" t="n">
        <v>37729</v>
      </c>
      <c r="C17" s="38" t="n">
        <v>1.16</v>
      </c>
      <c r="D17" s="10" t="n">
        <v>3.99</v>
      </c>
      <c r="E17" s="13" t="n">
        <f aca="false">D17-C17</f>
        <v>2.83</v>
      </c>
    </row>
    <row r="18" customFormat="false" ht="15" hidden="false" customHeight="false" outlineLevel="0" collapsed="false">
      <c r="B18" s="37" t="n">
        <v>37736</v>
      </c>
      <c r="C18" s="38" t="n">
        <v>1.14</v>
      </c>
      <c r="D18" s="10" t="n">
        <v>3.97</v>
      </c>
      <c r="E18" s="13" t="n">
        <f aca="false">D18-C18</f>
        <v>2.83</v>
      </c>
    </row>
    <row r="19" customFormat="false" ht="15" hidden="false" customHeight="false" outlineLevel="0" collapsed="false">
      <c r="B19" s="37" t="n">
        <v>37743</v>
      </c>
      <c r="C19" s="38" t="n">
        <v>1.11</v>
      </c>
      <c r="D19" s="10" t="n">
        <v>3.92</v>
      </c>
      <c r="E19" s="13" t="n">
        <f aca="false">D19-C19</f>
        <v>2.81</v>
      </c>
    </row>
    <row r="20" customFormat="false" ht="15" hidden="false" customHeight="false" outlineLevel="0" collapsed="false">
      <c r="B20" s="37" t="n">
        <v>37750</v>
      </c>
      <c r="C20" s="38" t="n">
        <v>1.09</v>
      </c>
      <c r="D20" s="10" t="n">
        <v>3.77</v>
      </c>
      <c r="E20" s="13" t="n">
        <f aca="false">D20-C20</f>
        <v>2.68</v>
      </c>
    </row>
    <row r="21" customFormat="false" ht="15" hidden="false" customHeight="false" outlineLevel="0" collapsed="false">
      <c r="B21" s="37" t="n">
        <v>37757</v>
      </c>
      <c r="C21" s="38" t="n">
        <v>1.05</v>
      </c>
      <c r="D21" s="10" t="n">
        <v>3.56</v>
      </c>
      <c r="E21" s="13" t="n">
        <f aca="false">D21-C21</f>
        <v>2.51</v>
      </c>
    </row>
    <row r="22" customFormat="false" ht="15" hidden="false" customHeight="false" outlineLevel="0" collapsed="false">
      <c r="B22" s="37" t="n">
        <v>37764</v>
      </c>
      <c r="C22" s="38" t="n">
        <v>1.04</v>
      </c>
      <c r="D22" s="10" t="n">
        <v>3.38</v>
      </c>
      <c r="E22" s="13" t="n">
        <f aca="false">D22-C22</f>
        <v>2.34</v>
      </c>
    </row>
    <row r="23" customFormat="false" ht="15" hidden="false" customHeight="false" outlineLevel="0" collapsed="false">
      <c r="B23" s="37" t="n">
        <v>37771</v>
      </c>
      <c r="C23" s="38" t="n">
        <v>1.09</v>
      </c>
      <c r="D23" s="10" t="n">
        <v>3.39</v>
      </c>
      <c r="E23" s="13" t="n">
        <f aca="false">D23-C23</f>
        <v>2.3</v>
      </c>
    </row>
    <row r="24" customFormat="false" ht="15" hidden="false" customHeight="false" outlineLevel="0" collapsed="false">
      <c r="B24" s="37" t="n">
        <v>37778</v>
      </c>
      <c r="C24" s="38" t="n">
        <v>1.05</v>
      </c>
      <c r="D24" s="10" t="n">
        <v>3.36</v>
      </c>
      <c r="E24" s="13" t="n">
        <f aca="false">D24-C24</f>
        <v>2.31</v>
      </c>
    </row>
    <row r="25" customFormat="false" ht="15" hidden="false" customHeight="false" outlineLevel="0" collapsed="false">
      <c r="B25" s="37" t="n">
        <v>37785</v>
      </c>
      <c r="C25" s="38" t="n">
        <v>0.92</v>
      </c>
      <c r="D25" s="10" t="n">
        <v>3.2</v>
      </c>
      <c r="E25" s="13" t="n">
        <f aca="false">D25-C25</f>
        <v>2.28</v>
      </c>
    </row>
    <row r="26" customFormat="false" ht="15" hidden="false" customHeight="false" outlineLevel="0" collapsed="false">
      <c r="B26" s="37" t="n">
        <v>37792</v>
      </c>
      <c r="C26" s="38" t="n">
        <v>0.84</v>
      </c>
      <c r="D26" s="10" t="n">
        <v>3.31</v>
      </c>
      <c r="E26" s="13" t="n">
        <f aca="false">D26-C26</f>
        <v>2.47</v>
      </c>
    </row>
    <row r="27" customFormat="false" ht="15" hidden="false" customHeight="false" outlineLevel="0" collapsed="false">
      <c r="B27" s="37" t="n">
        <v>37799</v>
      </c>
      <c r="C27" s="38" t="n">
        <v>0.86</v>
      </c>
      <c r="D27" s="10" t="n">
        <v>3.42</v>
      </c>
      <c r="E27" s="13" t="n">
        <f aca="false">D27-C27</f>
        <v>2.56</v>
      </c>
    </row>
    <row r="28" customFormat="false" ht="15" hidden="false" customHeight="false" outlineLevel="0" collapsed="false">
      <c r="B28" s="37" t="n">
        <v>37806</v>
      </c>
      <c r="C28" s="38" t="n">
        <v>0.87</v>
      </c>
      <c r="D28" s="10" t="n">
        <v>3.58</v>
      </c>
      <c r="E28" s="13" t="n">
        <f aca="false">D28-C28</f>
        <v>2.71</v>
      </c>
    </row>
    <row r="29" customFormat="false" ht="15" hidden="false" customHeight="false" outlineLevel="0" collapsed="false">
      <c r="B29" s="37" t="n">
        <v>37813</v>
      </c>
      <c r="C29" s="38" t="n">
        <v>0.88</v>
      </c>
      <c r="D29" s="10" t="n">
        <v>3.72</v>
      </c>
      <c r="E29" s="13" t="n">
        <f aca="false">D29-C29</f>
        <v>2.84</v>
      </c>
    </row>
    <row r="30" customFormat="false" ht="15" hidden="false" customHeight="false" outlineLevel="0" collapsed="false">
      <c r="B30" s="37" t="n">
        <v>37820</v>
      </c>
      <c r="C30" s="38" t="n">
        <v>0.89</v>
      </c>
      <c r="D30" s="10" t="n">
        <v>3.93</v>
      </c>
      <c r="E30" s="13" t="n">
        <f aca="false">D30-C30</f>
        <v>3.04</v>
      </c>
    </row>
    <row r="31" customFormat="false" ht="15" hidden="false" customHeight="false" outlineLevel="0" collapsed="false">
      <c r="B31" s="37" t="n">
        <v>37827</v>
      </c>
      <c r="C31" s="38" t="n">
        <v>0.91</v>
      </c>
      <c r="D31" s="10" t="n">
        <v>4.18</v>
      </c>
      <c r="E31" s="13" t="n">
        <f aca="false">D31-C31</f>
        <v>3.27</v>
      </c>
    </row>
    <row r="32" customFormat="false" ht="15" hidden="false" customHeight="false" outlineLevel="0" collapsed="false">
      <c r="B32" s="37" t="n">
        <v>37834</v>
      </c>
      <c r="C32" s="38" t="n">
        <v>0.95</v>
      </c>
      <c r="D32" s="10" t="n">
        <v>4.4</v>
      </c>
      <c r="E32" s="13" t="n">
        <f aca="false">D32-C32</f>
        <v>3.45</v>
      </c>
    </row>
    <row r="33" customFormat="false" ht="15" hidden="false" customHeight="false" outlineLevel="0" collapsed="false">
      <c r="B33" s="37" t="n">
        <v>37841</v>
      </c>
      <c r="C33" s="38" t="n">
        <v>0.94</v>
      </c>
      <c r="D33" s="10" t="n">
        <v>4.34</v>
      </c>
      <c r="E33" s="13" t="n">
        <f aca="false">D33-C33</f>
        <v>3.4</v>
      </c>
    </row>
    <row r="34" customFormat="false" ht="15" hidden="false" customHeight="false" outlineLevel="0" collapsed="false">
      <c r="B34" s="37" t="n">
        <v>37848</v>
      </c>
      <c r="C34" s="38" t="n">
        <v>0.94</v>
      </c>
      <c r="D34" s="10" t="n">
        <v>4.49</v>
      </c>
      <c r="E34" s="13" t="n">
        <f aca="false">D34-C34</f>
        <v>3.55</v>
      </c>
    </row>
    <row r="35" customFormat="false" ht="15" hidden="false" customHeight="false" outlineLevel="0" collapsed="false">
      <c r="B35" s="37" t="n">
        <v>37855</v>
      </c>
      <c r="C35" s="38" t="n">
        <v>0.95</v>
      </c>
      <c r="D35" s="10" t="n">
        <v>4.47</v>
      </c>
      <c r="E35" s="13" t="n">
        <f aca="false">D35-C35</f>
        <v>3.52</v>
      </c>
    </row>
    <row r="36" customFormat="false" ht="15" hidden="false" customHeight="false" outlineLevel="0" collapsed="false">
      <c r="B36" s="37" t="n">
        <v>37862</v>
      </c>
      <c r="C36" s="38" t="n">
        <v>0.98</v>
      </c>
      <c r="D36" s="10" t="n">
        <v>4.49</v>
      </c>
      <c r="E36" s="13" t="n">
        <f aca="false">D36-C36</f>
        <v>3.51</v>
      </c>
    </row>
    <row r="37" customFormat="false" ht="15" hidden="false" customHeight="false" outlineLevel="0" collapsed="false">
      <c r="B37" s="37" t="n">
        <v>37869</v>
      </c>
      <c r="C37" s="38" t="n">
        <v>0.95</v>
      </c>
      <c r="D37" s="10" t="n">
        <v>4.52</v>
      </c>
      <c r="E37" s="13" t="n">
        <f aca="false">D37-C37</f>
        <v>3.57</v>
      </c>
    </row>
    <row r="38" customFormat="false" ht="15" hidden="false" customHeight="false" outlineLevel="0" collapsed="false">
      <c r="B38" s="37" t="n">
        <v>37876</v>
      </c>
      <c r="C38" s="38" t="n">
        <v>0.94</v>
      </c>
      <c r="D38" s="10" t="n">
        <v>4.34</v>
      </c>
      <c r="E38" s="13" t="n">
        <f aca="false">D38-C38</f>
        <v>3.4</v>
      </c>
    </row>
    <row r="39" customFormat="false" ht="15" hidden="false" customHeight="false" outlineLevel="0" collapsed="false">
      <c r="B39" s="37" t="n">
        <v>37883</v>
      </c>
      <c r="C39" s="38" t="n">
        <v>0.93</v>
      </c>
      <c r="D39" s="10" t="n">
        <v>4.23</v>
      </c>
      <c r="E39" s="13" t="n">
        <f aca="false">D39-C39</f>
        <v>3.3</v>
      </c>
    </row>
    <row r="40" customFormat="false" ht="15" hidden="false" customHeight="false" outlineLevel="0" collapsed="false">
      <c r="B40" s="37" t="n">
        <v>37890</v>
      </c>
      <c r="C40" s="38" t="n">
        <v>0.93</v>
      </c>
      <c r="D40" s="10" t="n">
        <v>4.16</v>
      </c>
      <c r="E40" s="13" t="n">
        <f aca="false">D40-C40</f>
        <v>3.23</v>
      </c>
    </row>
    <row r="41" customFormat="false" ht="15" hidden="false" customHeight="false" outlineLevel="0" collapsed="false">
      <c r="B41" s="37" t="n">
        <v>37897</v>
      </c>
      <c r="C41" s="38" t="n">
        <v>0.93</v>
      </c>
      <c r="D41" s="10" t="n">
        <v>4.05</v>
      </c>
      <c r="E41" s="13" t="n">
        <f aca="false">D41-C41</f>
        <v>3.12</v>
      </c>
    </row>
    <row r="42" customFormat="false" ht="15" hidden="false" customHeight="false" outlineLevel="0" collapsed="false">
      <c r="B42" s="37" t="n">
        <v>37904</v>
      </c>
      <c r="C42" s="38" t="n">
        <v>0.9</v>
      </c>
      <c r="D42" s="10" t="n">
        <v>4.26</v>
      </c>
      <c r="E42" s="13" t="n">
        <f aca="false">D42-C42</f>
        <v>3.36</v>
      </c>
    </row>
    <row r="43" customFormat="false" ht="15" hidden="false" customHeight="false" outlineLevel="0" collapsed="false">
      <c r="B43" s="37" t="n">
        <v>37911</v>
      </c>
      <c r="C43" s="38" t="n">
        <v>0.91</v>
      </c>
      <c r="D43" s="10" t="n">
        <v>4.42</v>
      </c>
      <c r="E43" s="13" t="n">
        <f aca="false">D43-C43</f>
        <v>3.51</v>
      </c>
    </row>
    <row r="44" customFormat="false" ht="15" hidden="false" customHeight="false" outlineLevel="0" collapsed="false">
      <c r="B44" s="37" t="n">
        <v>37918</v>
      </c>
      <c r="C44" s="38" t="n">
        <v>0.93</v>
      </c>
      <c r="D44" s="10" t="n">
        <v>4.33</v>
      </c>
      <c r="E44" s="13" t="n">
        <f aca="false">D44-C44</f>
        <v>3.4</v>
      </c>
    </row>
    <row r="45" customFormat="false" ht="15" hidden="false" customHeight="false" outlineLevel="0" collapsed="false">
      <c r="B45" s="37" t="n">
        <v>37925</v>
      </c>
      <c r="C45" s="38" t="n">
        <v>0.94</v>
      </c>
      <c r="D45" s="10" t="n">
        <v>4.31</v>
      </c>
      <c r="E45" s="13" t="n">
        <f aca="false">D45-C45</f>
        <v>3.37</v>
      </c>
    </row>
    <row r="46" customFormat="false" ht="15" hidden="false" customHeight="false" outlineLevel="0" collapsed="false">
      <c r="B46" s="37" t="n">
        <v>37932</v>
      </c>
      <c r="C46" s="38" t="n">
        <v>0.94</v>
      </c>
      <c r="D46" s="10" t="n">
        <v>4.41</v>
      </c>
      <c r="E46" s="13" t="n">
        <f aca="false">D46-C46</f>
        <v>3.47</v>
      </c>
    </row>
    <row r="47" customFormat="false" ht="15" hidden="false" customHeight="false" outlineLevel="0" collapsed="false">
      <c r="B47" s="37" t="n">
        <v>37939</v>
      </c>
      <c r="C47" s="38" t="n">
        <v>0.93</v>
      </c>
      <c r="D47" s="10" t="n">
        <v>4.36</v>
      </c>
      <c r="E47" s="13" t="n">
        <f aca="false">D47-C47</f>
        <v>3.43</v>
      </c>
    </row>
    <row r="48" customFormat="false" ht="15" hidden="false" customHeight="false" outlineLevel="0" collapsed="false">
      <c r="B48" s="37" t="n">
        <v>37946</v>
      </c>
      <c r="C48" s="38" t="n">
        <v>0.93</v>
      </c>
      <c r="D48" s="10" t="n">
        <v>4.18</v>
      </c>
      <c r="E48" s="13" t="n">
        <f aca="false">D48-C48</f>
        <v>3.25</v>
      </c>
    </row>
    <row r="49" customFormat="false" ht="15" hidden="false" customHeight="false" outlineLevel="0" collapsed="false">
      <c r="B49" s="37" t="n">
        <v>37953</v>
      </c>
      <c r="C49" s="38" t="n">
        <v>0.93</v>
      </c>
      <c r="D49" s="10" t="n">
        <v>4.25</v>
      </c>
      <c r="E49" s="13" t="n">
        <f aca="false">D49-C49</f>
        <v>3.32</v>
      </c>
    </row>
    <row r="50" customFormat="false" ht="15" hidden="false" customHeight="false" outlineLevel="0" collapsed="false">
      <c r="B50" s="37" t="n">
        <v>37960</v>
      </c>
      <c r="C50" s="38" t="n">
        <v>0.92</v>
      </c>
      <c r="D50" s="10" t="n">
        <v>4.36</v>
      </c>
      <c r="E50" s="13" t="n">
        <f aca="false">D50-C50</f>
        <v>3.44</v>
      </c>
    </row>
    <row r="51" customFormat="false" ht="15" hidden="false" customHeight="false" outlineLevel="0" collapsed="false">
      <c r="B51" s="37" t="n">
        <v>37967</v>
      </c>
      <c r="C51" s="38" t="n">
        <v>0.9</v>
      </c>
      <c r="D51" s="10" t="n">
        <v>4.29</v>
      </c>
      <c r="E51" s="13" t="n">
        <f aca="false">D51-C51</f>
        <v>3.39</v>
      </c>
    </row>
    <row r="52" customFormat="false" ht="15" hidden="false" customHeight="false" outlineLevel="0" collapsed="false">
      <c r="B52" s="37" t="n">
        <v>37974</v>
      </c>
      <c r="C52" s="38" t="n">
        <v>0.88</v>
      </c>
      <c r="D52" s="10" t="n">
        <v>4.2</v>
      </c>
      <c r="E52" s="13" t="n">
        <f aca="false">D52-C52</f>
        <v>3.32</v>
      </c>
    </row>
    <row r="53" customFormat="false" ht="15" hidden="false" customHeight="false" outlineLevel="0" collapsed="false">
      <c r="B53" s="37" t="n">
        <v>37981</v>
      </c>
      <c r="C53" s="38" t="n">
        <v>0.88</v>
      </c>
      <c r="D53" s="10" t="n">
        <v>4.21</v>
      </c>
      <c r="E53" s="13" t="n">
        <f aca="false">D53-C53</f>
        <v>3.33</v>
      </c>
    </row>
    <row r="54" customFormat="false" ht="15" hidden="false" customHeight="false" outlineLevel="0" collapsed="false">
      <c r="B54" s="37" t="n">
        <v>37988</v>
      </c>
      <c r="C54" s="38" t="n">
        <v>0.91</v>
      </c>
      <c r="D54" s="10" t="n">
        <v>4.3</v>
      </c>
      <c r="E54" s="13" t="n">
        <f aca="false">D54-C54</f>
        <v>3.39</v>
      </c>
    </row>
    <row r="55" customFormat="false" ht="15" hidden="false" customHeight="false" outlineLevel="0" collapsed="false">
      <c r="B55" s="37" t="n">
        <v>37995</v>
      </c>
      <c r="C55" s="38" t="n">
        <v>0.88</v>
      </c>
      <c r="D55" s="10" t="n">
        <v>4.27</v>
      </c>
      <c r="E55" s="13" t="n">
        <f aca="false">D55-C55</f>
        <v>3.39</v>
      </c>
    </row>
    <row r="56" customFormat="false" ht="15" hidden="false" customHeight="false" outlineLevel="0" collapsed="false">
      <c r="B56" s="37" t="n">
        <v>38002</v>
      </c>
      <c r="C56" s="38" t="n">
        <v>0.87</v>
      </c>
      <c r="D56" s="10" t="n">
        <v>4.04</v>
      </c>
      <c r="E56" s="13" t="n">
        <f aca="false">D56-C56</f>
        <v>3.17</v>
      </c>
    </row>
    <row r="57" customFormat="false" ht="15" hidden="false" customHeight="false" outlineLevel="0" collapsed="false">
      <c r="B57" s="37" t="n">
        <v>38009</v>
      </c>
      <c r="C57" s="38" t="n">
        <v>0.87</v>
      </c>
      <c r="D57" s="10" t="n">
        <v>4.05</v>
      </c>
      <c r="E57" s="13" t="n">
        <f aca="false">D57-C57</f>
        <v>3.18</v>
      </c>
    </row>
    <row r="58" customFormat="false" ht="15" hidden="false" customHeight="false" outlineLevel="0" collapsed="false">
      <c r="B58" s="37" t="n">
        <v>38016</v>
      </c>
      <c r="C58" s="38" t="n">
        <v>0.9</v>
      </c>
      <c r="D58" s="10" t="n">
        <v>4.17</v>
      </c>
      <c r="E58" s="13" t="n">
        <f aca="false">D58-C58</f>
        <v>3.27</v>
      </c>
    </row>
    <row r="59" customFormat="false" ht="15" hidden="false" customHeight="false" outlineLevel="0" collapsed="false">
      <c r="B59" s="37" t="n">
        <v>38023</v>
      </c>
      <c r="C59" s="38" t="n">
        <v>0.92</v>
      </c>
      <c r="D59" s="10" t="n">
        <v>4.16</v>
      </c>
      <c r="E59" s="13" t="n">
        <f aca="false">D59-C59</f>
        <v>3.24</v>
      </c>
    </row>
    <row r="60" customFormat="false" ht="15" hidden="false" customHeight="false" outlineLevel="0" collapsed="false">
      <c r="B60" s="37" t="n">
        <v>38030</v>
      </c>
      <c r="C60" s="38" t="n">
        <v>0.92</v>
      </c>
      <c r="D60" s="10" t="n">
        <v>4.08</v>
      </c>
      <c r="E60" s="13" t="n">
        <f aca="false">D60-C60</f>
        <v>3.16</v>
      </c>
    </row>
    <row r="61" customFormat="false" ht="15" hidden="false" customHeight="false" outlineLevel="0" collapsed="false">
      <c r="B61" s="37" t="n">
        <v>38037</v>
      </c>
      <c r="C61" s="38" t="n">
        <v>0.92</v>
      </c>
      <c r="D61" s="10" t="n">
        <v>4.06</v>
      </c>
      <c r="E61" s="13" t="n">
        <f aca="false">D61-C61</f>
        <v>3.14</v>
      </c>
    </row>
    <row r="62" customFormat="false" ht="15" hidden="false" customHeight="false" outlineLevel="0" collapsed="false">
      <c r="B62" s="37" t="n">
        <v>38044</v>
      </c>
      <c r="C62" s="38" t="n">
        <v>0.94</v>
      </c>
      <c r="D62" s="10" t="n">
        <v>4.03</v>
      </c>
      <c r="E62" s="13" t="n">
        <f aca="false">D62-C62</f>
        <v>3.09</v>
      </c>
    </row>
    <row r="63" customFormat="false" ht="15" hidden="false" customHeight="false" outlineLevel="0" collapsed="false">
      <c r="B63" s="37" t="n">
        <v>38051</v>
      </c>
      <c r="C63" s="38" t="n">
        <v>0.94</v>
      </c>
      <c r="D63" s="10" t="n">
        <v>4</v>
      </c>
      <c r="E63" s="13" t="n">
        <f aca="false">D63-C63</f>
        <v>3.06</v>
      </c>
    </row>
    <row r="64" customFormat="false" ht="15" hidden="false" customHeight="false" outlineLevel="0" collapsed="false">
      <c r="B64" s="37" t="n">
        <v>38058</v>
      </c>
      <c r="C64" s="38" t="n">
        <v>0.94</v>
      </c>
      <c r="D64" s="10" t="n">
        <v>3.75</v>
      </c>
      <c r="E64" s="13" t="n">
        <f aca="false">D64-C64</f>
        <v>2.81</v>
      </c>
    </row>
    <row r="65" customFormat="false" ht="15" hidden="false" customHeight="false" outlineLevel="0" collapsed="false">
      <c r="B65" s="37" t="n">
        <v>38065</v>
      </c>
      <c r="C65" s="38" t="n">
        <v>0.93</v>
      </c>
      <c r="D65" s="10" t="n">
        <v>3.75</v>
      </c>
      <c r="E65" s="13" t="n">
        <f aca="false">D65-C65</f>
        <v>2.82</v>
      </c>
    </row>
    <row r="66" customFormat="false" ht="15" hidden="false" customHeight="false" outlineLevel="0" collapsed="false">
      <c r="B66" s="37" t="n">
        <v>38072</v>
      </c>
      <c r="C66" s="38" t="n">
        <v>0.93</v>
      </c>
      <c r="D66" s="10" t="n">
        <v>3.76</v>
      </c>
      <c r="E66" s="13" t="n">
        <f aca="false">D66-C66</f>
        <v>2.83</v>
      </c>
    </row>
    <row r="67" customFormat="false" ht="15" hidden="false" customHeight="false" outlineLevel="0" collapsed="false">
      <c r="B67" s="37" t="n">
        <v>38079</v>
      </c>
      <c r="C67" s="38" t="n">
        <v>0.93</v>
      </c>
      <c r="D67" s="10" t="n">
        <v>3.95</v>
      </c>
      <c r="E67" s="13" t="n">
        <f aca="false">D67-C67</f>
        <v>3.02</v>
      </c>
    </row>
    <row r="68" customFormat="false" ht="15" hidden="false" customHeight="false" outlineLevel="0" collapsed="false">
      <c r="B68" s="37" t="n">
        <v>38086</v>
      </c>
      <c r="C68" s="38" t="n">
        <v>0.93</v>
      </c>
      <c r="D68" s="10" t="n">
        <v>4.21</v>
      </c>
      <c r="E68" s="13" t="n">
        <f aca="false">D68-C68</f>
        <v>3.28</v>
      </c>
    </row>
    <row r="69" customFormat="false" ht="15" hidden="false" customHeight="false" outlineLevel="0" collapsed="false">
      <c r="B69" s="37" t="n">
        <v>38093</v>
      </c>
      <c r="C69" s="38" t="n">
        <v>0.93</v>
      </c>
      <c r="D69" s="10" t="n">
        <v>4.36</v>
      </c>
      <c r="E69" s="13" t="n">
        <f aca="false">D69-C69</f>
        <v>3.43</v>
      </c>
    </row>
    <row r="70" customFormat="false" ht="15" hidden="false" customHeight="false" outlineLevel="0" collapsed="false">
      <c r="B70" s="37" t="n">
        <v>38100</v>
      </c>
      <c r="C70" s="38" t="n">
        <v>0.96</v>
      </c>
      <c r="D70" s="10" t="n">
        <v>4.43</v>
      </c>
      <c r="E70" s="13" t="n">
        <f aca="false">D70-C70</f>
        <v>3.47</v>
      </c>
    </row>
    <row r="71" customFormat="false" ht="15" hidden="false" customHeight="false" outlineLevel="0" collapsed="false">
      <c r="B71" s="37" t="n">
        <v>38107</v>
      </c>
      <c r="C71" s="38" t="n">
        <v>0.96</v>
      </c>
      <c r="D71" s="10" t="n">
        <v>4.49</v>
      </c>
      <c r="E71" s="13" t="n">
        <f aca="false">D71-C71</f>
        <v>3.53</v>
      </c>
    </row>
    <row r="72" customFormat="false" ht="15" hidden="false" customHeight="false" outlineLevel="0" collapsed="false">
      <c r="B72" s="37" t="n">
        <v>38114</v>
      </c>
      <c r="C72" s="38" t="n">
        <v>1</v>
      </c>
      <c r="D72" s="10" t="n">
        <v>4.62</v>
      </c>
      <c r="E72" s="13" t="n">
        <f aca="false">D72-C72</f>
        <v>3.62</v>
      </c>
    </row>
    <row r="73" customFormat="false" ht="15" hidden="false" customHeight="false" outlineLevel="0" collapsed="false">
      <c r="B73" s="37" t="n">
        <v>38121</v>
      </c>
      <c r="C73" s="38" t="n">
        <v>1.02</v>
      </c>
      <c r="D73" s="10" t="n">
        <v>4.81</v>
      </c>
      <c r="E73" s="13" t="n">
        <f aca="false">D73-C73</f>
        <v>3.79</v>
      </c>
    </row>
    <row r="74" customFormat="false" ht="15" hidden="false" customHeight="false" outlineLevel="0" collapsed="false">
      <c r="B74" s="37" t="n">
        <v>38128</v>
      </c>
      <c r="C74" s="38" t="n">
        <v>1.03</v>
      </c>
      <c r="D74" s="10" t="n">
        <v>4.74</v>
      </c>
      <c r="E74" s="13" t="n">
        <f aca="false">D74-C74</f>
        <v>3.71</v>
      </c>
    </row>
    <row r="75" customFormat="false" ht="15" hidden="false" customHeight="false" outlineLevel="0" collapsed="false">
      <c r="B75" s="37" t="n">
        <v>38135</v>
      </c>
      <c r="C75" s="38" t="n">
        <v>1.06</v>
      </c>
      <c r="D75" s="10" t="n">
        <v>4.68</v>
      </c>
      <c r="E75" s="13" t="n">
        <f aca="false">D75-C75</f>
        <v>3.62</v>
      </c>
    </row>
    <row r="76" customFormat="false" ht="15" hidden="false" customHeight="false" outlineLevel="0" collapsed="false">
      <c r="B76" s="37" t="n">
        <v>38142</v>
      </c>
      <c r="C76" s="38" t="n">
        <v>1.16</v>
      </c>
      <c r="D76" s="10" t="n">
        <v>4.74</v>
      </c>
      <c r="E76" s="13" t="n">
        <f aca="false">D76-C76</f>
        <v>3.58</v>
      </c>
    </row>
    <row r="77" customFormat="false" ht="15" hidden="false" customHeight="false" outlineLevel="0" collapsed="false">
      <c r="B77" s="37" t="n">
        <v>38149</v>
      </c>
      <c r="C77" s="38" t="n">
        <v>1.25</v>
      </c>
      <c r="D77" s="10" t="n">
        <v>4.8</v>
      </c>
      <c r="E77" s="13" t="n">
        <f aca="false">D77-C77</f>
        <v>3.55</v>
      </c>
    </row>
    <row r="78" customFormat="false" ht="15" hidden="false" customHeight="false" outlineLevel="0" collapsed="false">
      <c r="B78" s="37" t="n">
        <v>38156</v>
      </c>
      <c r="C78" s="38" t="n">
        <v>1.3</v>
      </c>
      <c r="D78" s="10" t="n">
        <v>4.75</v>
      </c>
      <c r="E78" s="13" t="n">
        <f aca="false">D78-C78</f>
        <v>3.45</v>
      </c>
    </row>
    <row r="79" customFormat="false" ht="15" hidden="false" customHeight="false" outlineLevel="0" collapsed="false">
      <c r="B79" s="37" t="n">
        <v>38163</v>
      </c>
      <c r="C79" s="38" t="n">
        <v>1.29</v>
      </c>
      <c r="D79" s="10" t="n">
        <v>4.69</v>
      </c>
      <c r="E79" s="13" t="n">
        <f aca="false">D79-C79</f>
        <v>3.4</v>
      </c>
    </row>
    <row r="80" customFormat="false" ht="15" hidden="false" customHeight="false" outlineLevel="0" collapsed="false">
      <c r="B80" s="37" t="n">
        <v>38170</v>
      </c>
      <c r="C80" s="38" t="n">
        <v>1.3</v>
      </c>
      <c r="D80" s="10" t="n">
        <v>4.63</v>
      </c>
      <c r="E80" s="13" t="n">
        <f aca="false">D80-C80</f>
        <v>3.33</v>
      </c>
    </row>
    <row r="81" customFormat="false" ht="15" hidden="false" customHeight="false" outlineLevel="0" collapsed="false">
      <c r="B81" s="37" t="n">
        <v>38177</v>
      </c>
      <c r="C81" s="38" t="n">
        <v>1.28</v>
      </c>
      <c r="D81" s="10" t="n">
        <v>4.49</v>
      </c>
      <c r="E81" s="13" t="n">
        <f aca="false">D81-C81</f>
        <v>3.21</v>
      </c>
    </row>
    <row r="82" customFormat="false" ht="15" hidden="false" customHeight="false" outlineLevel="0" collapsed="false">
      <c r="B82" s="37" t="n">
        <v>38184</v>
      </c>
      <c r="C82" s="38" t="n">
        <v>1.32</v>
      </c>
      <c r="D82" s="10" t="n">
        <v>4.47</v>
      </c>
      <c r="E82" s="13" t="n">
        <f aca="false">D82-C82</f>
        <v>3.15</v>
      </c>
    </row>
    <row r="83" customFormat="false" ht="15" hidden="false" customHeight="false" outlineLevel="0" collapsed="false">
      <c r="B83" s="37" t="n">
        <v>38191</v>
      </c>
      <c r="C83" s="38" t="n">
        <v>1.34</v>
      </c>
      <c r="D83" s="10" t="n">
        <v>4.46</v>
      </c>
      <c r="E83" s="13" t="n">
        <f aca="false">D83-C83</f>
        <v>3.12</v>
      </c>
    </row>
    <row r="84" customFormat="false" ht="15" hidden="false" customHeight="false" outlineLevel="0" collapsed="false">
      <c r="B84" s="37" t="n">
        <v>38198</v>
      </c>
      <c r="C84" s="38" t="n">
        <v>1.43</v>
      </c>
      <c r="D84" s="10" t="n">
        <v>4.56</v>
      </c>
      <c r="E84" s="13" t="n">
        <f aca="false">D84-C84</f>
        <v>3.13</v>
      </c>
    </row>
    <row r="85" customFormat="false" ht="15" hidden="false" customHeight="false" outlineLevel="0" collapsed="false">
      <c r="B85" s="37" t="n">
        <v>38205</v>
      </c>
      <c r="C85" s="38" t="n">
        <v>1.45</v>
      </c>
      <c r="D85" s="10" t="n">
        <v>4.41</v>
      </c>
      <c r="E85" s="13" t="n">
        <f aca="false">D85-C85</f>
        <v>2.96</v>
      </c>
    </row>
    <row r="86" customFormat="false" ht="15" hidden="false" customHeight="false" outlineLevel="0" collapsed="false">
      <c r="B86" s="37" t="n">
        <v>38212</v>
      </c>
      <c r="C86" s="38" t="n">
        <v>1.44</v>
      </c>
      <c r="D86" s="10" t="n">
        <v>4.28</v>
      </c>
      <c r="E86" s="13" t="n">
        <f aca="false">D86-C86</f>
        <v>2.84</v>
      </c>
    </row>
    <row r="87" customFormat="false" ht="15" hidden="false" customHeight="false" outlineLevel="0" collapsed="false">
      <c r="B87" s="37" t="n">
        <v>38219</v>
      </c>
      <c r="C87" s="38" t="n">
        <v>1.46</v>
      </c>
      <c r="D87" s="10" t="n">
        <v>4.23</v>
      </c>
      <c r="E87" s="13" t="n">
        <f aca="false">D87-C87</f>
        <v>2.77</v>
      </c>
    </row>
    <row r="88" customFormat="false" ht="15" hidden="false" customHeight="false" outlineLevel="0" collapsed="false">
      <c r="B88" s="37" t="n">
        <v>38226</v>
      </c>
      <c r="C88" s="38" t="n">
        <v>1.52</v>
      </c>
      <c r="D88" s="10" t="n">
        <v>4.25</v>
      </c>
      <c r="E88" s="13" t="n">
        <f aca="false">D88-C88</f>
        <v>2.73</v>
      </c>
    </row>
    <row r="89" customFormat="false" ht="15" hidden="false" customHeight="false" outlineLevel="0" collapsed="false">
      <c r="B89" s="37" t="n">
        <v>38233</v>
      </c>
      <c r="C89" s="38" t="n">
        <v>1.58</v>
      </c>
      <c r="D89" s="10" t="n">
        <v>4.19</v>
      </c>
      <c r="E89" s="13" t="n">
        <f aca="false">D89-C89</f>
        <v>2.61</v>
      </c>
    </row>
    <row r="90" customFormat="false" ht="15" hidden="false" customHeight="false" outlineLevel="0" collapsed="false">
      <c r="B90" s="37" t="n">
        <v>38240</v>
      </c>
      <c r="C90" s="38" t="n">
        <v>1.63</v>
      </c>
      <c r="D90" s="10" t="n">
        <v>4.21</v>
      </c>
      <c r="E90" s="13" t="n">
        <f aca="false">D90-C90</f>
        <v>2.58</v>
      </c>
    </row>
    <row r="91" customFormat="false" ht="15" hidden="false" customHeight="false" outlineLevel="0" collapsed="false">
      <c r="B91" s="37" t="n">
        <v>38247</v>
      </c>
      <c r="C91" s="38" t="n">
        <v>1.65</v>
      </c>
      <c r="D91" s="10" t="n">
        <v>4.14</v>
      </c>
      <c r="E91" s="13" t="n">
        <f aca="false">D91-C91</f>
        <v>2.49</v>
      </c>
    </row>
    <row r="92" customFormat="false" ht="15" hidden="false" customHeight="false" outlineLevel="0" collapsed="false">
      <c r="B92" s="37" t="n">
        <v>38254</v>
      </c>
      <c r="C92" s="38" t="n">
        <v>1.69</v>
      </c>
      <c r="D92" s="10" t="n">
        <v>4.04</v>
      </c>
      <c r="E92" s="13" t="n">
        <f aca="false">D92-C92</f>
        <v>2.35</v>
      </c>
    </row>
    <row r="93" customFormat="false" ht="15" hidden="false" customHeight="false" outlineLevel="0" collapsed="false">
      <c r="B93" s="37" t="n">
        <v>38261</v>
      </c>
      <c r="C93" s="38" t="n">
        <v>1.69</v>
      </c>
      <c r="D93" s="10" t="n">
        <v>4.1</v>
      </c>
      <c r="E93" s="13" t="n">
        <f aca="false">D93-C93</f>
        <v>2.41</v>
      </c>
    </row>
    <row r="94" customFormat="false" ht="15" hidden="false" customHeight="false" outlineLevel="0" collapsed="false">
      <c r="B94" s="37" t="n">
        <v>38268</v>
      </c>
      <c r="C94" s="38" t="n">
        <v>1.68</v>
      </c>
      <c r="D94" s="10" t="n">
        <v>4.2</v>
      </c>
      <c r="E94" s="13" t="n">
        <f aca="false">D94-C94</f>
        <v>2.52</v>
      </c>
    </row>
    <row r="95" customFormat="false" ht="15" hidden="false" customHeight="false" outlineLevel="0" collapsed="false">
      <c r="B95" s="37" t="n">
        <v>38275</v>
      </c>
      <c r="C95" s="38" t="n">
        <v>1.7</v>
      </c>
      <c r="D95" s="10" t="n">
        <v>4.08</v>
      </c>
      <c r="E95" s="13" t="n">
        <f aca="false">D95-C95</f>
        <v>2.38</v>
      </c>
    </row>
    <row r="96" customFormat="false" ht="15" hidden="false" customHeight="false" outlineLevel="0" collapsed="false">
      <c r="B96" s="37" t="n">
        <v>38282</v>
      </c>
      <c r="C96" s="38" t="n">
        <v>1.8</v>
      </c>
      <c r="D96" s="10" t="n">
        <v>4.03</v>
      </c>
      <c r="E96" s="13" t="n">
        <f aca="false">D96-C96</f>
        <v>2.23</v>
      </c>
    </row>
    <row r="97" customFormat="false" ht="15" hidden="false" customHeight="false" outlineLevel="0" collapsed="false">
      <c r="B97" s="37" t="n">
        <v>38289</v>
      </c>
      <c r="C97" s="38" t="n">
        <v>1.87</v>
      </c>
      <c r="D97" s="10" t="n">
        <v>4.05</v>
      </c>
      <c r="E97" s="13" t="n">
        <f aca="false">D97-C97</f>
        <v>2.18</v>
      </c>
    </row>
    <row r="98" customFormat="false" ht="15" hidden="false" customHeight="false" outlineLevel="0" collapsed="false">
      <c r="B98" s="37" t="n">
        <v>38296</v>
      </c>
      <c r="C98" s="38" t="n">
        <v>1.95</v>
      </c>
      <c r="D98" s="10" t="n">
        <v>4.12</v>
      </c>
      <c r="E98" s="13" t="n">
        <f aca="false">D98-C98</f>
        <v>2.17</v>
      </c>
    </row>
    <row r="99" customFormat="false" ht="15" hidden="false" customHeight="false" outlineLevel="0" collapsed="false">
      <c r="B99" s="37" t="n">
        <v>38303</v>
      </c>
      <c r="C99" s="38" t="n">
        <v>2.04</v>
      </c>
      <c r="D99" s="10" t="n">
        <v>4.22</v>
      </c>
      <c r="E99" s="13" t="n">
        <f aca="false">D99-C99</f>
        <v>2.18</v>
      </c>
    </row>
    <row r="100" customFormat="false" ht="15" hidden="false" customHeight="false" outlineLevel="0" collapsed="false">
      <c r="B100" s="37" t="n">
        <v>38310</v>
      </c>
      <c r="C100" s="38" t="n">
        <v>2.09</v>
      </c>
      <c r="D100" s="10" t="n">
        <v>4.17</v>
      </c>
      <c r="E100" s="13" t="n">
        <f aca="false">D100-C100</f>
        <v>2.08</v>
      </c>
    </row>
    <row r="101" customFormat="false" ht="15" hidden="false" customHeight="false" outlineLevel="0" collapsed="false">
      <c r="B101" s="37" t="n">
        <v>38317</v>
      </c>
      <c r="C101" s="38" t="n">
        <v>2.15</v>
      </c>
      <c r="D101" s="10" t="n">
        <v>4.2</v>
      </c>
      <c r="E101" s="13" t="n">
        <f aca="false">D101-C101</f>
        <v>2.05</v>
      </c>
    </row>
    <row r="102" customFormat="false" ht="15" hidden="false" customHeight="false" outlineLevel="0" collapsed="false">
      <c r="B102" s="37" t="n">
        <v>38324</v>
      </c>
      <c r="C102" s="38" t="n">
        <v>2.19</v>
      </c>
      <c r="D102" s="10" t="n">
        <v>4.35</v>
      </c>
      <c r="E102" s="13" t="n">
        <f aca="false">D102-C102</f>
        <v>2.16</v>
      </c>
    </row>
    <row r="103" customFormat="false" ht="15" hidden="false" customHeight="false" outlineLevel="0" collapsed="false">
      <c r="B103" s="37" t="n">
        <v>38331</v>
      </c>
      <c r="C103" s="38" t="n">
        <v>2.21</v>
      </c>
      <c r="D103" s="10" t="n">
        <v>4.19</v>
      </c>
      <c r="E103" s="13" t="n">
        <f aca="false">D103-C103</f>
        <v>1.98</v>
      </c>
    </row>
    <row r="104" customFormat="false" ht="15" hidden="false" customHeight="false" outlineLevel="0" collapsed="false">
      <c r="B104" s="37" t="n">
        <v>38338</v>
      </c>
      <c r="C104" s="38" t="n">
        <v>2.18</v>
      </c>
      <c r="D104" s="10" t="n">
        <v>4.16</v>
      </c>
      <c r="E104" s="13" t="n">
        <f aca="false">D104-C104</f>
        <v>1.98</v>
      </c>
    </row>
    <row r="105" customFormat="false" ht="15" hidden="false" customHeight="false" outlineLevel="0" collapsed="false">
      <c r="B105" s="37" t="n">
        <v>38345</v>
      </c>
      <c r="C105" s="38" t="n">
        <v>2.17</v>
      </c>
      <c r="D105" s="10" t="n">
        <v>4.21</v>
      </c>
      <c r="E105" s="13" t="n">
        <f aca="false">D105-C105</f>
        <v>2.04</v>
      </c>
    </row>
    <row r="106" customFormat="false" ht="15" hidden="false" customHeight="false" outlineLevel="0" collapsed="false">
      <c r="B106" s="37" t="n">
        <v>38352</v>
      </c>
      <c r="C106" s="38" t="n">
        <v>2.2</v>
      </c>
      <c r="D106" s="10" t="n">
        <v>4.29</v>
      </c>
      <c r="E106" s="13" t="n">
        <f aca="false">D106-C106</f>
        <v>2.09</v>
      </c>
    </row>
    <row r="107" customFormat="false" ht="15" hidden="false" customHeight="false" outlineLevel="0" collapsed="false">
      <c r="B107" s="37" t="n">
        <v>38359</v>
      </c>
      <c r="C107" s="38" t="n">
        <v>2.29</v>
      </c>
      <c r="D107" s="10" t="n">
        <v>4.28</v>
      </c>
      <c r="E107" s="13" t="n">
        <f aca="false">D107-C107</f>
        <v>1.99</v>
      </c>
    </row>
    <row r="108" customFormat="false" ht="15" hidden="false" customHeight="false" outlineLevel="0" collapsed="false">
      <c r="B108" s="37" t="n">
        <v>38366</v>
      </c>
      <c r="C108" s="38" t="n">
        <v>2.31</v>
      </c>
      <c r="D108" s="10" t="n">
        <v>4.25</v>
      </c>
      <c r="E108" s="13" t="n">
        <f aca="false">D108-C108</f>
        <v>1.94</v>
      </c>
    </row>
    <row r="109" customFormat="false" ht="15" hidden="false" customHeight="false" outlineLevel="0" collapsed="false">
      <c r="B109" s="37" t="n">
        <v>38373</v>
      </c>
      <c r="C109" s="38" t="n">
        <v>2.33</v>
      </c>
      <c r="D109" s="10" t="n">
        <v>4.19</v>
      </c>
      <c r="E109" s="13" t="n">
        <f aca="false">D109-C109</f>
        <v>1.86</v>
      </c>
    </row>
    <row r="110" customFormat="false" ht="15" hidden="false" customHeight="false" outlineLevel="0" collapsed="false">
      <c r="B110" s="37" t="n">
        <v>38380</v>
      </c>
      <c r="C110" s="38" t="n">
        <v>2.38</v>
      </c>
      <c r="D110" s="10" t="n">
        <v>4.19</v>
      </c>
      <c r="E110" s="13" t="n">
        <f aca="false">D110-C110</f>
        <v>1.81</v>
      </c>
    </row>
    <row r="111" customFormat="false" ht="15" hidden="false" customHeight="false" outlineLevel="0" collapsed="false">
      <c r="B111" s="37" t="n">
        <v>38387</v>
      </c>
      <c r="C111" s="38" t="n">
        <v>2.46</v>
      </c>
      <c r="D111" s="10" t="n">
        <v>4.14</v>
      </c>
      <c r="E111" s="13" t="n">
        <f aca="false">D111-C111</f>
        <v>1.68</v>
      </c>
    </row>
    <row r="112" customFormat="false" ht="15" hidden="false" customHeight="false" outlineLevel="0" collapsed="false">
      <c r="B112" s="37" t="n">
        <v>38394</v>
      </c>
      <c r="C112" s="38" t="n">
        <v>2.48</v>
      </c>
      <c r="D112" s="10" t="n">
        <v>4.06</v>
      </c>
      <c r="E112" s="13" t="n">
        <f aca="false">D112-C112</f>
        <v>1.58</v>
      </c>
    </row>
    <row r="113" customFormat="false" ht="15" hidden="false" customHeight="false" outlineLevel="0" collapsed="false">
      <c r="B113" s="37" t="n">
        <v>38401</v>
      </c>
      <c r="C113" s="38" t="n">
        <v>2.54</v>
      </c>
      <c r="D113" s="10" t="n">
        <v>4.16</v>
      </c>
      <c r="E113" s="13" t="n">
        <f aca="false">D113-C113</f>
        <v>1.62</v>
      </c>
    </row>
    <row r="114" customFormat="false" ht="15" hidden="false" customHeight="false" outlineLevel="0" collapsed="false">
      <c r="B114" s="37" t="n">
        <v>38408</v>
      </c>
      <c r="C114" s="38" t="n">
        <v>2.65</v>
      </c>
      <c r="D114" s="10" t="n">
        <v>4.28</v>
      </c>
      <c r="E114" s="13" t="n">
        <f aca="false">D114-C114</f>
        <v>1.63</v>
      </c>
    </row>
    <row r="115" customFormat="false" ht="15" hidden="false" customHeight="false" outlineLevel="0" collapsed="false">
      <c r="B115" s="37" t="n">
        <v>38415</v>
      </c>
      <c r="C115" s="38" t="n">
        <v>2.7</v>
      </c>
      <c r="D115" s="10" t="n">
        <v>4.37</v>
      </c>
      <c r="E115" s="13" t="n">
        <f aca="false">D115-C115</f>
        <v>1.67</v>
      </c>
    </row>
    <row r="116" customFormat="false" ht="15" hidden="false" customHeight="false" outlineLevel="0" collapsed="false">
      <c r="B116" s="37" t="n">
        <v>38422</v>
      </c>
      <c r="C116" s="38" t="n">
        <v>2.7</v>
      </c>
      <c r="D116" s="10" t="n">
        <v>4.45</v>
      </c>
      <c r="E116" s="13" t="n">
        <f aca="false">D116-C116</f>
        <v>1.75</v>
      </c>
    </row>
    <row r="117" customFormat="false" ht="15" hidden="false" customHeight="false" outlineLevel="0" collapsed="false">
      <c r="B117" s="37" t="n">
        <v>38429</v>
      </c>
      <c r="C117" s="38" t="n">
        <v>2.74</v>
      </c>
      <c r="D117" s="10" t="n">
        <v>4.51</v>
      </c>
      <c r="E117" s="13" t="n">
        <f aca="false">D117-C117</f>
        <v>1.77</v>
      </c>
    </row>
    <row r="118" customFormat="false" ht="15" hidden="false" customHeight="false" outlineLevel="0" collapsed="false">
      <c r="B118" s="37" t="n">
        <v>38436</v>
      </c>
      <c r="C118" s="38" t="n">
        <v>2.8</v>
      </c>
      <c r="D118" s="10" t="n">
        <v>4.59</v>
      </c>
      <c r="E118" s="13" t="n">
        <f aca="false">D118-C118</f>
        <v>1.79</v>
      </c>
    </row>
    <row r="119" customFormat="false" ht="15" hidden="false" customHeight="false" outlineLevel="0" collapsed="false">
      <c r="B119" s="37" t="n">
        <v>38443</v>
      </c>
      <c r="C119" s="38" t="n">
        <v>2.76</v>
      </c>
      <c r="D119" s="10" t="n">
        <v>4.55</v>
      </c>
      <c r="E119" s="13" t="n">
        <f aca="false">D119-C119</f>
        <v>1.79</v>
      </c>
    </row>
    <row r="120" customFormat="false" ht="15" hidden="false" customHeight="false" outlineLevel="0" collapsed="false">
      <c r="B120" s="37" t="n">
        <v>38450</v>
      </c>
      <c r="C120" s="38" t="n">
        <v>2.73</v>
      </c>
      <c r="D120" s="10" t="n">
        <v>4.48</v>
      </c>
      <c r="E120" s="13" t="n">
        <f aca="false">D120-C120</f>
        <v>1.75</v>
      </c>
    </row>
    <row r="121" customFormat="false" ht="15" hidden="false" customHeight="false" outlineLevel="0" collapsed="false">
      <c r="B121" s="37" t="n">
        <v>38457</v>
      </c>
      <c r="C121" s="38" t="n">
        <v>2.72</v>
      </c>
      <c r="D121" s="10" t="n">
        <v>4.37</v>
      </c>
      <c r="E121" s="13" t="n">
        <f aca="false">D121-C121</f>
        <v>1.65</v>
      </c>
    </row>
    <row r="122" customFormat="false" ht="15" hidden="false" customHeight="false" outlineLevel="0" collapsed="false">
      <c r="B122" s="37" t="n">
        <v>38464</v>
      </c>
      <c r="C122" s="38" t="n">
        <v>2.84</v>
      </c>
      <c r="D122" s="10" t="n">
        <v>4.26</v>
      </c>
      <c r="E122" s="13" t="n">
        <f aca="false">D122-C122</f>
        <v>1.42</v>
      </c>
    </row>
    <row r="123" customFormat="false" ht="15" hidden="false" customHeight="false" outlineLevel="0" collapsed="false">
      <c r="B123" s="37" t="n">
        <v>38471</v>
      </c>
      <c r="C123" s="38" t="n">
        <v>2.85</v>
      </c>
      <c r="D123" s="10" t="n">
        <v>4.24</v>
      </c>
      <c r="E123" s="13" t="n">
        <f aca="false">D123-C123</f>
        <v>1.39</v>
      </c>
    </row>
    <row r="124" customFormat="false" ht="15" hidden="false" customHeight="false" outlineLevel="0" collapsed="false">
      <c r="B124" s="37" t="n">
        <v>38478</v>
      </c>
      <c r="C124" s="38" t="n">
        <v>2.82</v>
      </c>
      <c r="D124" s="10" t="n">
        <v>4.22</v>
      </c>
      <c r="E124" s="13" t="n">
        <f aca="false">D124-C124</f>
        <v>1.4</v>
      </c>
    </row>
    <row r="125" customFormat="false" ht="15" hidden="false" customHeight="false" outlineLevel="0" collapsed="false">
      <c r="B125" s="37" t="n">
        <v>38485</v>
      </c>
      <c r="C125" s="38" t="n">
        <v>2.82</v>
      </c>
      <c r="D125" s="10" t="n">
        <v>4.21</v>
      </c>
      <c r="E125" s="13" t="n">
        <f aca="false">D125-C125</f>
        <v>1.39</v>
      </c>
    </row>
    <row r="126" customFormat="false" ht="15" hidden="false" customHeight="false" outlineLevel="0" collapsed="false">
      <c r="B126" s="37" t="n">
        <v>38492</v>
      </c>
      <c r="C126" s="38" t="n">
        <v>2.82</v>
      </c>
      <c r="D126" s="10" t="n">
        <v>4.11</v>
      </c>
      <c r="E126" s="13" t="n">
        <f aca="false">D126-C126</f>
        <v>1.29</v>
      </c>
    </row>
    <row r="127" customFormat="false" ht="15" hidden="false" customHeight="false" outlineLevel="0" collapsed="false">
      <c r="B127" s="37" t="n">
        <v>38499</v>
      </c>
      <c r="C127" s="38" t="n">
        <v>2.89</v>
      </c>
      <c r="D127" s="10" t="n">
        <v>4.07</v>
      </c>
      <c r="E127" s="13" t="n">
        <f aca="false">D127-C127</f>
        <v>1.18</v>
      </c>
    </row>
    <row r="128" customFormat="false" ht="15" hidden="false" customHeight="false" outlineLevel="0" collapsed="false">
      <c r="B128" s="37" t="n">
        <v>38506</v>
      </c>
      <c r="C128" s="38" t="n">
        <v>2.92</v>
      </c>
      <c r="D128" s="10" t="n">
        <v>3.95</v>
      </c>
      <c r="E128" s="13" t="n">
        <f aca="false">D128-C128</f>
        <v>1.03</v>
      </c>
    </row>
    <row r="129" customFormat="false" ht="15" hidden="false" customHeight="false" outlineLevel="0" collapsed="false">
      <c r="B129" s="37" t="n">
        <v>38513</v>
      </c>
      <c r="C129" s="38" t="n">
        <v>2.95</v>
      </c>
      <c r="D129" s="10" t="n">
        <v>3.97</v>
      </c>
      <c r="E129" s="13" t="n">
        <f aca="false">D129-C129</f>
        <v>1.02</v>
      </c>
    </row>
    <row r="130" customFormat="false" ht="15" hidden="false" customHeight="false" outlineLevel="0" collapsed="false">
      <c r="B130" s="37" t="n">
        <v>38520</v>
      </c>
      <c r="C130" s="38" t="n">
        <v>2.94</v>
      </c>
      <c r="D130" s="10" t="n">
        <v>4.1</v>
      </c>
      <c r="E130" s="13" t="n">
        <f aca="false">D130-C130</f>
        <v>1.16</v>
      </c>
    </row>
    <row r="131" customFormat="false" ht="15" hidden="false" customHeight="false" outlineLevel="0" collapsed="false">
      <c r="B131" s="37" t="n">
        <v>38527</v>
      </c>
      <c r="C131" s="38" t="n">
        <v>2.98</v>
      </c>
      <c r="D131" s="10" t="n">
        <v>4</v>
      </c>
      <c r="E131" s="13" t="n">
        <f aca="false">D131-C131</f>
        <v>1.02</v>
      </c>
    </row>
    <row r="132" customFormat="false" ht="15" hidden="false" customHeight="false" outlineLevel="0" collapsed="false">
      <c r="B132" s="37" t="n">
        <v>38534</v>
      </c>
      <c r="C132" s="38" t="n">
        <v>3.08</v>
      </c>
      <c r="D132" s="10" t="n">
        <v>3.97</v>
      </c>
      <c r="E132" s="13" t="n">
        <f aca="false">D132-C132</f>
        <v>0.89</v>
      </c>
    </row>
    <row r="133" customFormat="false" ht="15" hidden="false" customHeight="false" outlineLevel="0" collapsed="false">
      <c r="B133" s="37" t="n">
        <v>38541</v>
      </c>
      <c r="C133" s="38" t="n">
        <v>3.11</v>
      </c>
      <c r="D133" s="10" t="n">
        <v>4.09</v>
      </c>
      <c r="E133" s="13" t="n">
        <f aca="false">D133-C133</f>
        <v>0.98</v>
      </c>
    </row>
    <row r="134" customFormat="false" ht="15" hidden="false" customHeight="false" outlineLevel="0" collapsed="false">
      <c r="B134" s="37" t="n">
        <v>38548</v>
      </c>
      <c r="C134" s="38" t="n">
        <v>3.15</v>
      </c>
      <c r="D134" s="10" t="n">
        <v>4.16</v>
      </c>
      <c r="E134" s="13" t="n">
        <f aca="false">D134-C134</f>
        <v>1.01</v>
      </c>
    </row>
    <row r="135" customFormat="false" ht="15" hidden="false" customHeight="false" outlineLevel="0" collapsed="false">
      <c r="B135" s="37" t="n">
        <v>38555</v>
      </c>
      <c r="C135" s="38" t="n">
        <v>3.25</v>
      </c>
      <c r="D135" s="10" t="n">
        <v>4.22</v>
      </c>
      <c r="E135" s="13" t="n">
        <f aca="false">D135-C135</f>
        <v>0.97</v>
      </c>
    </row>
    <row r="136" customFormat="false" ht="15" hidden="false" customHeight="false" outlineLevel="0" collapsed="false">
      <c r="B136" s="37" t="n">
        <v>38562</v>
      </c>
      <c r="C136" s="38" t="n">
        <v>3.35</v>
      </c>
      <c r="D136" s="10" t="n">
        <v>4.25</v>
      </c>
      <c r="E136" s="13" t="n">
        <f aca="false">D136-C136</f>
        <v>0.9</v>
      </c>
    </row>
    <row r="137" customFormat="false" ht="15" hidden="false" customHeight="false" outlineLevel="0" collapsed="false">
      <c r="B137" s="37" t="n">
        <v>38569</v>
      </c>
      <c r="C137" s="38" t="n">
        <v>3.41</v>
      </c>
      <c r="D137" s="10" t="n">
        <v>4.34</v>
      </c>
      <c r="E137" s="13" t="n">
        <f aca="false">D137-C137</f>
        <v>0.93</v>
      </c>
    </row>
    <row r="138" customFormat="false" ht="15" hidden="false" customHeight="false" outlineLevel="0" collapsed="false">
      <c r="B138" s="37" t="n">
        <v>38576</v>
      </c>
      <c r="C138" s="38" t="n">
        <v>3.44</v>
      </c>
      <c r="D138" s="10" t="n">
        <v>4.36</v>
      </c>
      <c r="E138" s="13" t="n">
        <f aca="false">D138-C138</f>
        <v>0.92</v>
      </c>
    </row>
    <row r="139" customFormat="false" ht="15" hidden="false" customHeight="false" outlineLevel="0" collapsed="false">
      <c r="B139" s="37" t="n">
        <v>38583</v>
      </c>
      <c r="C139" s="38" t="n">
        <v>3.45</v>
      </c>
      <c r="D139" s="10" t="n">
        <v>4.24</v>
      </c>
      <c r="E139" s="13" t="n">
        <f aca="false">D139-C139</f>
        <v>0.79</v>
      </c>
    </row>
    <row r="140" customFormat="false" ht="15" hidden="false" customHeight="false" outlineLevel="0" collapsed="false">
      <c r="B140" s="37" t="n">
        <v>38590</v>
      </c>
      <c r="C140" s="38" t="n">
        <v>3.46</v>
      </c>
      <c r="D140" s="10" t="n">
        <v>4.2</v>
      </c>
      <c r="E140" s="13" t="n">
        <f aca="false">D140-C140</f>
        <v>0.74</v>
      </c>
    </row>
    <row r="141" customFormat="false" ht="15" hidden="false" customHeight="false" outlineLevel="0" collapsed="false">
      <c r="B141" s="37" t="n">
        <v>38597</v>
      </c>
      <c r="C141" s="38" t="n">
        <v>3.43</v>
      </c>
      <c r="D141" s="10" t="n">
        <v>4.09</v>
      </c>
      <c r="E141" s="13" t="n">
        <f aca="false">D141-C141</f>
        <v>0.66</v>
      </c>
    </row>
    <row r="142" customFormat="false" ht="15" hidden="false" customHeight="false" outlineLevel="0" collapsed="false">
      <c r="B142" s="37" t="n">
        <v>38604</v>
      </c>
      <c r="C142" s="38" t="n">
        <v>3.42</v>
      </c>
      <c r="D142" s="10" t="n">
        <v>4.13</v>
      </c>
      <c r="E142" s="13" t="n">
        <f aca="false">D142-C142</f>
        <v>0.71</v>
      </c>
    </row>
    <row r="143" customFormat="false" ht="15" hidden="false" customHeight="false" outlineLevel="0" collapsed="false">
      <c r="B143" s="37" t="n">
        <v>38611</v>
      </c>
      <c r="C143" s="38" t="n">
        <v>3.4</v>
      </c>
      <c r="D143" s="10" t="n">
        <v>4.19</v>
      </c>
      <c r="E143" s="13" t="n">
        <f aca="false">D143-C143</f>
        <v>0.790000000000001</v>
      </c>
    </row>
    <row r="144" customFormat="false" ht="15" hidden="false" customHeight="false" outlineLevel="0" collapsed="false">
      <c r="B144" s="37" t="n">
        <v>38618</v>
      </c>
      <c r="C144" s="38" t="n">
        <v>3.44</v>
      </c>
      <c r="D144" s="10" t="n">
        <v>4.23</v>
      </c>
      <c r="E144" s="13" t="n">
        <f aca="false">D144-C144</f>
        <v>0.790000000000001</v>
      </c>
    </row>
    <row r="145" customFormat="false" ht="15" hidden="false" customHeight="false" outlineLevel="0" collapsed="false">
      <c r="B145" s="37" t="n">
        <v>38625</v>
      </c>
      <c r="C145" s="38" t="n">
        <v>3.44</v>
      </c>
      <c r="D145" s="10" t="n">
        <v>4.3</v>
      </c>
      <c r="E145" s="13" t="n">
        <f aca="false">D145-C145</f>
        <v>0.86</v>
      </c>
    </row>
    <row r="146" customFormat="false" ht="15" hidden="false" customHeight="false" outlineLevel="0" collapsed="false">
      <c r="B146" s="37" t="n">
        <v>38632</v>
      </c>
      <c r="C146" s="38" t="n">
        <v>3.53</v>
      </c>
      <c r="D146" s="10" t="n">
        <v>4.37</v>
      </c>
      <c r="E146" s="13" t="n">
        <f aca="false">D146-C146</f>
        <v>0.84</v>
      </c>
    </row>
    <row r="147" customFormat="false" ht="15" hidden="false" customHeight="false" outlineLevel="0" collapsed="false">
      <c r="B147" s="37" t="n">
        <v>38639</v>
      </c>
      <c r="C147" s="38" t="n">
        <v>3.66</v>
      </c>
      <c r="D147" s="10" t="n">
        <v>4.45</v>
      </c>
      <c r="E147" s="13" t="n">
        <f aca="false">D147-C147</f>
        <v>0.79</v>
      </c>
    </row>
    <row r="148" customFormat="false" ht="15" hidden="false" customHeight="false" outlineLevel="0" collapsed="false">
      <c r="B148" s="37" t="n">
        <v>38646</v>
      </c>
      <c r="C148" s="38" t="n">
        <v>3.77</v>
      </c>
      <c r="D148" s="10" t="n">
        <v>4.46</v>
      </c>
      <c r="E148" s="13" t="n">
        <f aca="false">D148-C148</f>
        <v>0.69</v>
      </c>
    </row>
    <row r="149" customFormat="false" ht="15" hidden="false" customHeight="false" outlineLevel="0" collapsed="false">
      <c r="B149" s="37" t="n">
        <v>38653</v>
      </c>
      <c r="C149" s="38" t="n">
        <v>3.82</v>
      </c>
      <c r="D149" s="10" t="n">
        <v>4.55</v>
      </c>
      <c r="E149" s="13" t="n">
        <f aca="false">D149-C149</f>
        <v>0.73</v>
      </c>
    </row>
    <row r="150" customFormat="false" ht="15" hidden="false" customHeight="false" outlineLevel="0" collapsed="false">
      <c r="B150" s="37" t="n">
        <v>38660</v>
      </c>
      <c r="C150" s="38" t="n">
        <v>3.87</v>
      </c>
      <c r="D150" s="10" t="n">
        <v>4.61</v>
      </c>
      <c r="E150" s="13" t="n">
        <f aca="false">D150-C150</f>
        <v>0.74</v>
      </c>
    </row>
    <row r="151" customFormat="false" ht="15" hidden="false" customHeight="false" outlineLevel="0" collapsed="false">
      <c r="B151" s="37" t="n">
        <v>38667</v>
      </c>
      <c r="C151" s="38" t="n">
        <v>3.88</v>
      </c>
      <c r="D151" s="10" t="n">
        <v>4.6</v>
      </c>
      <c r="E151" s="13" t="n">
        <f aca="false">D151-C151</f>
        <v>0.72</v>
      </c>
    </row>
    <row r="152" customFormat="false" ht="15" hidden="false" customHeight="false" outlineLevel="0" collapsed="false">
      <c r="B152" s="37" t="n">
        <v>38674</v>
      </c>
      <c r="C152" s="38" t="n">
        <v>3.92</v>
      </c>
      <c r="D152" s="10" t="n">
        <v>4.52</v>
      </c>
      <c r="E152" s="13" t="n">
        <f aca="false">D152-C152</f>
        <v>0.6</v>
      </c>
    </row>
    <row r="153" customFormat="false" ht="15" hidden="false" customHeight="false" outlineLevel="0" collapsed="false">
      <c r="B153" s="37" t="n">
        <v>38681</v>
      </c>
      <c r="C153" s="38" t="n">
        <v>3.87</v>
      </c>
      <c r="D153" s="10" t="n">
        <v>4.45</v>
      </c>
      <c r="E153" s="13" t="n">
        <f aca="false">D153-C153</f>
        <v>0.58</v>
      </c>
    </row>
    <row r="154" customFormat="false" ht="15" hidden="false" customHeight="false" outlineLevel="0" collapsed="false">
      <c r="B154" s="37" t="n">
        <v>38688</v>
      </c>
      <c r="C154" s="38" t="n">
        <v>3.88</v>
      </c>
      <c r="D154" s="10" t="n">
        <v>4.48</v>
      </c>
      <c r="E154" s="13" t="n">
        <f aca="false">D154-C154</f>
        <v>0.600000000000001</v>
      </c>
    </row>
    <row r="155" customFormat="false" ht="15" hidden="false" customHeight="false" outlineLevel="0" collapsed="false">
      <c r="B155" s="37" t="n">
        <v>38695</v>
      </c>
      <c r="C155" s="38" t="n">
        <v>3.91</v>
      </c>
      <c r="D155" s="10" t="n">
        <v>4.52</v>
      </c>
      <c r="E155" s="13" t="n">
        <f aca="false">D155-C155</f>
        <v>0.609999999999999</v>
      </c>
    </row>
    <row r="156" customFormat="false" ht="15" hidden="false" customHeight="false" outlineLevel="0" collapsed="false">
      <c r="B156" s="37" t="n">
        <v>38702</v>
      </c>
      <c r="C156" s="38" t="n">
        <v>3.83</v>
      </c>
      <c r="D156" s="10" t="n">
        <v>4.49</v>
      </c>
      <c r="E156" s="13" t="n">
        <f aca="false">D156-C156</f>
        <v>0.66</v>
      </c>
    </row>
    <row r="157" customFormat="false" ht="15" hidden="false" customHeight="false" outlineLevel="0" collapsed="false">
      <c r="B157" s="37" t="n">
        <v>38709</v>
      </c>
      <c r="C157" s="38" t="n">
        <v>3.89</v>
      </c>
      <c r="D157" s="10" t="n">
        <v>4.45</v>
      </c>
      <c r="E157" s="13" t="n">
        <f aca="false">D157-C157</f>
        <v>0.56</v>
      </c>
    </row>
    <row r="158" customFormat="false" ht="15" hidden="false" customHeight="false" outlineLevel="0" collapsed="false">
      <c r="B158" s="37" t="n">
        <v>38716</v>
      </c>
      <c r="C158" s="38" t="n">
        <v>3.92</v>
      </c>
      <c r="D158" s="10" t="n">
        <v>4.37</v>
      </c>
      <c r="E158" s="13" t="n">
        <f aca="false">D158-C158</f>
        <v>0.45</v>
      </c>
    </row>
    <row r="159" customFormat="false" ht="15" hidden="false" customHeight="false" outlineLevel="0" collapsed="false">
      <c r="B159" s="37" t="n">
        <v>38723</v>
      </c>
      <c r="C159" s="38" t="n">
        <v>4.1</v>
      </c>
      <c r="D159" s="10" t="n">
        <v>4.37</v>
      </c>
      <c r="E159" s="13" t="n">
        <f aca="false">D159-C159</f>
        <v>0.27</v>
      </c>
    </row>
    <row r="160" customFormat="false" ht="15" hidden="false" customHeight="false" outlineLevel="0" collapsed="false">
      <c r="B160" s="37" t="n">
        <v>38730</v>
      </c>
      <c r="C160" s="38" t="n">
        <v>4.2</v>
      </c>
      <c r="D160" s="10" t="n">
        <v>4.41</v>
      </c>
      <c r="E160" s="13" t="n">
        <f aca="false">D160-C160</f>
        <v>0.21</v>
      </c>
    </row>
    <row r="161" customFormat="false" ht="15" hidden="false" customHeight="false" outlineLevel="0" collapsed="false">
      <c r="B161" s="37" t="n">
        <v>38737</v>
      </c>
      <c r="C161" s="38" t="n">
        <v>4.26</v>
      </c>
      <c r="D161" s="10" t="n">
        <v>4.36</v>
      </c>
      <c r="E161" s="13" t="n">
        <f aca="false">D161-C161</f>
        <v>0.100000000000001</v>
      </c>
    </row>
    <row r="162" customFormat="false" ht="15" hidden="false" customHeight="false" outlineLevel="0" collapsed="false">
      <c r="B162" s="37" t="n">
        <v>38744</v>
      </c>
      <c r="C162" s="38" t="n">
        <v>4.32</v>
      </c>
      <c r="D162" s="10" t="n">
        <v>4.46</v>
      </c>
      <c r="E162" s="13" t="n">
        <f aca="false">D162-C162</f>
        <v>0.14</v>
      </c>
    </row>
    <row r="163" customFormat="false" ht="15" hidden="false" customHeight="false" outlineLevel="0" collapsed="false">
      <c r="B163" s="37" t="n">
        <v>38751</v>
      </c>
      <c r="C163" s="38" t="n">
        <v>4.37</v>
      </c>
      <c r="D163" s="10" t="n">
        <v>4.55</v>
      </c>
      <c r="E163" s="13" t="n">
        <f aca="false">D163-C163</f>
        <v>0.18</v>
      </c>
    </row>
    <row r="164" customFormat="false" ht="15" hidden="false" customHeight="false" outlineLevel="0" collapsed="false">
      <c r="B164" s="37" t="n">
        <v>38758</v>
      </c>
      <c r="C164" s="38" t="n">
        <v>4.4</v>
      </c>
      <c r="D164" s="10" t="n">
        <v>4.56</v>
      </c>
      <c r="E164" s="13" t="n">
        <f aca="false">D164-C164</f>
        <v>0.159999999999999</v>
      </c>
    </row>
    <row r="165" customFormat="false" ht="15" hidden="false" customHeight="false" outlineLevel="0" collapsed="false">
      <c r="B165" s="37" t="n">
        <v>38765</v>
      </c>
      <c r="C165" s="38" t="n">
        <v>4.44</v>
      </c>
      <c r="D165" s="10" t="n">
        <v>4.59</v>
      </c>
      <c r="E165" s="13" t="n">
        <f aca="false">D165-C165</f>
        <v>0.149999999999999</v>
      </c>
    </row>
    <row r="166" customFormat="false" ht="15" hidden="false" customHeight="false" outlineLevel="0" collapsed="false">
      <c r="B166" s="37" t="n">
        <v>38772</v>
      </c>
      <c r="C166" s="38" t="n">
        <v>4.47</v>
      </c>
      <c r="D166" s="10" t="n">
        <v>4.56</v>
      </c>
      <c r="E166" s="13" t="n">
        <f aca="false">D166-C166</f>
        <v>0.0899999999999999</v>
      </c>
    </row>
    <row r="167" customFormat="false" ht="15" hidden="false" customHeight="false" outlineLevel="0" collapsed="false">
      <c r="B167" s="37" t="n">
        <v>38779</v>
      </c>
      <c r="C167" s="38" t="n">
        <v>4.5</v>
      </c>
      <c r="D167" s="10" t="n">
        <v>4.61</v>
      </c>
      <c r="E167" s="13" t="n">
        <f aca="false">D167-C167</f>
        <v>0.11</v>
      </c>
    </row>
    <row r="168" customFormat="false" ht="15" hidden="false" customHeight="false" outlineLevel="0" collapsed="false">
      <c r="B168" s="37" t="n">
        <v>38786</v>
      </c>
      <c r="C168" s="38" t="n">
        <v>4.49</v>
      </c>
      <c r="D168" s="10" t="n">
        <v>4.74</v>
      </c>
      <c r="E168" s="13" t="n">
        <f aca="false">D168-C168</f>
        <v>0.25</v>
      </c>
    </row>
    <row r="169" customFormat="false" ht="15" hidden="false" customHeight="false" outlineLevel="0" collapsed="false">
      <c r="B169" s="37" t="n">
        <v>38793</v>
      </c>
      <c r="C169" s="38" t="n">
        <v>4.5</v>
      </c>
      <c r="D169" s="10" t="n">
        <v>4.71</v>
      </c>
      <c r="E169" s="13" t="n">
        <f aca="false">D169-C169</f>
        <v>0.21</v>
      </c>
    </row>
    <row r="170" customFormat="false" ht="15" hidden="false" customHeight="false" outlineLevel="0" collapsed="false">
      <c r="B170" s="37" t="n">
        <v>38800</v>
      </c>
      <c r="C170" s="38" t="n">
        <v>4.56</v>
      </c>
      <c r="D170" s="10" t="n">
        <v>4.69</v>
      </c>
      <c r="E170" s="13" t="n">
        <f aca="false">D170-C170</f>
        <v>0.130000000000001</v>
      </c>
    </row>
    <row r="171" customFormat="false" ht="15" hidden="false" customHeight="false" outlineLevel="0" collapsed="false">
      <c r="B171" s="37" t="n">
        <v>38807</v>
      </c>
      <c r="C171" s="38" t="n">
        <v>4.51</v>
      </c>
      <c r="D171" s="10" t="n">
        <v>4.8</v>
      </c>
      <c r="E171" s="13" t="n">
        <f aca="false">D171-C171</f>
        <v>0.29</v>
      </c>
    </row>
    <row r="172" customFormat="false" ht="15" hidden="false" customHeight="false" outlineLevel="0" collapsed="false">
      <c r="B172" s="37" t="n">
        <v>38814</v>
      </c>
      <c r="C172" s="38" t="n">
        <v>4.56</v>
      </c>
      <c r="D172" s="10" t="n">
        <v>4.89</v>
      </c>
      <c r="E172" s="13" t="n">
        <f aca="false">D172-C172</f>
        <v>0.33</v>
      </c>
    </row>
    <row r="173" customFormat="false" ht="15" hidden="false" customHeight="false" outlineLevel="0" collapsed="false">
      <c r="B173" s="37" t="n">
        <v>38821</v>
      </c>
      <c r="C173" s="38" t="n">
        <v>4.58</v>
      </c>
      <c r="D173" s="10" t="n">
        <v>4.98</v>
      </c>
      <c r="E173" s="13" t="n">
        <f aca="false">D173-C173</f>
        <v>0.4</v>
      </c>
    </row>
    <row r="174" customFormat="false" ht="15" hidden="false" customHeight="false" outlineLevel="0" collapsed="false">
      <c r="B174" s="37" t="n">
        <v>38828</v>
      </c>
      <c r="C174" s="38" t="n">
        <v>4.61</v>
      </c>
      <c r="D174" s="10" t="n">
        <v>5.02</v>
      </c>
      <c r="E174" s="13" t="n">
        <f aca="false">D174-C174</f>
        <v>0.409999999999999</v>
      </c>
    </row>
    <row r="175" customFormat="false" ht="15" hidden="false" customHeight="false" outlineLevel="0" collapsed="false">
      <c r="B175" s="37" t="n">
        <v>38835</v>
      </c>
      <c r="C175" s="38" t="n">
        <v>4.66</v>
      </c>
      <c r="D175" s="10" t="n">
        <v>5.07</v>
      </c>
      <c r="E175" s="13" t="n">
        <f aca="false">D175-C175</f>
        <v>0.41</v>
      </c>
    </row>
    <row r="176" customFormat="false" ht="15" hidden="false" customHeight="false" outlineLevel="0" collapsed="false">
      <c r="B176" s="37" t="n">
        <v>38842</v>
      </c>
      <c r="C176" s="38" t="n">
        <v>4.69</v>
      </c>
      <c r="D176" s="10" t="n">
        <v>5.14</v>
      </c>
      <c r="E176" s="13" t="n">
        <f aca="false">D176-C176</f>
        <v>0.449999999999999</v>
      </c>
    </row>
    <row r="177" customFormat="false" ht="15" hidden="false" customHeight="false" outlineLevel="0" collapsed="false">
      <c r="B177" s="37" t="n">
        <v>38849</v>
      </c>
      <c r="C177" s="38" t="n">
        <v>4.74</v>
      </c>
      <c r="D177" s="10" t="n">
        <v>5.14</v>
      </c>
      <c r="E177" s="13" t="n">
        <f aca="false">D177-C177</f>
        <v>0.4</v>
      </c>
    </row>
    <row r="178" customFormat="false" ht="15" hidden="false" customHeight="false" outlineLevel="0" collapsed="false">
      <c r="B178" s="37" t="n">
        <v>38856</v>
      </c>
      <c r="C178" s="38" t="n">
        <v>4.71</v>
      </c>
      <c r="D178" s="10" t="n">
        <v>5.11</v>
      </c>
      <c r="E178" s="13" t="n">
        <f aca="false">D178-C178</f>
        <v>0.4</v>
      </c>
    </row>
    <row r="179" customFormat="false" ht="15" hidden="false" customHeight="false" outlineLevel="0" collapsed="false">
      <c r="B179" s="37" t="n">
        <v>38863</v>
      </c>
      <c r="C179" s="38" t="n">
        <v>4.71</v>
      </c>
      <c r="D179" s="10" t="n">
        <v>5.05</v>
      </c>
      <c r="E179" s="13" t="n">
        <f aca="false">D179-C179</f>
        <v>0.34</v>
      </c>
    </row>
    <row r="180" customFormat="false" ht="15" hidden="false" customHeight="false" outlineLevel="0" collapsed="false">
      <c r="B180" s="37" t="n">
        <v>38870</v>
      </c>
      <c r="C180" s="38" t="n">
        <v>4.72</v>
      </c>
      <c r="D180" s="10" t="n">
        <v>5.08</v>
      </c>
      <c r="E180" s="13" t="n">
        <f aca="false">D180-C180</f>
        <v>0.36</v>
      </c>
    </row>
    <row r="181" customFormat="false" ht="15" hidden="false" customHeight="false" outlineLevel="0" collapsed="false">
      <c r="B181" s="37" t="n">
        <v>38877</v>
      </c>
      <c r="C181" s="38" t="n">
        <v>4.74</v>
      </c>
      <c r="D181" s="10" t="n">
        <v>5.01</v>
      </c>
      <c r="E181" s="13" t="n">
        <f aca="false">D181-C181</f>
        <v>0.27</v>
      </c>
    </row>
    <row r="182" customFormat="false" ht="15" hidden="false" customHeight="false" outlineLevel="0" collapsed="false">
      <c r="B182" s="37" t="n">
        <v>38884</v>
      </c>
      <c r="C182" s="38" t="n">
        <v>4.76</v>
      </c>
      <c r="D182" s="10" t="n">
        <v>5.05</v>
      </c>
      <c r="E182" s="13" t="n">
        <f aca="false">D182-C182</f>
        <v>0.29</v>
      </c>
    </row>
    <row r="183" customFormat="false" ht="15" hidden="false" customHeight="false" outlineLevel="0" collapsed="false">
      <c r="B183" s="37" t="n">
        <v>38891</v>
      </c>
      <c r="C183" s="38" t="n">
        <v>4.81</v>
      </c>
      <c r="D183" s="10" t="n">
        <v>5.18</v>
      </c>
      <c r="E183" s="13" t="n">
        <f aca="false">D183-C183</f>
        <v>0.37</v>
      </c>
    </row>
    <row r="184" customFormat="false" ht="15" hidden="false" customHeight="false" outlineLevel="0" collapsed="false">
      <c r="B184" s="37" t="n">
        <v>38898</v>
      </c>
      <c r="C184" s="38" t="n">
        <v>4.89</v>
      </c>
      <c r="D184" s="10" t="n">
        <v>5.22</v>
      </c>
      <c r="E184" s="13" t="n">
        <f aca="false">D184-C184</f>
        <v>0.33</v>
      </c>
    </row>
    <row r="185" customFormat="false" ht="15" hidden="false" customHeight="false" outlineLevel="0" collapsed="false">
      <c r="B185" s="37" t="n">
        <v>38905</v>
      </c>
      <c r="C185" s="38" t="n">
        <v>4.9</v>
      </c>
      <c r="D185" s="10" t="n">
        <v>5.18</v>
      </c>
      <c r="E185" s="13" t="n">
        <f aca="false">D185-C185</f>
        <v>0.279999999999999</v>
      </c>
    </row>
    <row r="186" customFormat="false" ht="15" hidden="false" customHeight="false" outlineLevel="0" collapsed="false">
      <c r="B186" s="37" t="n">
        <v>38912</v>
      </c>
      <c r="C186" s="38" t="n">
        <v>4.93</v>
      </c>
      <c r="D186" s="10" t="n">
        <v>5.1</v>
      </c>
      <c r="E186" s="13" t="n">
        <f aca="false">D186-C186</f>
        <v>0.17</v>
      </c>
    </row>
    <row r="187" customFormat="false" ht="15" hidden="false" customHeight="false" outlineLevel="0" collapsed="false">
      <c r="B187" s="37" t="n">
        <v>38919</v>
      </c>
      <c r="C187" s="38" t="n">
        <v>4.97</v>
      </c>
      <c r="D187" s="10" t="n">
        <v>5.07</v>
      </c>
      <c r="E187" s="13" t="n">
        <f aca="false">D187-C187</f>
        <v>0.100000000000001</v>
      </c>
    </row>
    <row r="188" customFormat="false" ht="15" hidden="false" customHeight="false" outlineLevel="0" collapsed="false">
      <c r="B188" s="37" t="n">
        <v>38926</v>
      </c>
      <c r="C188" s="38" t="n">
        <v>4.97</v>
      </c>
      <c r="D188" s="10" t="n">
        <v>5.05</v>
      </c>
      <c r="E188" s="13" t="n">
        <f aca="false">D188-C188</f>
        <v>0.0800000000000001</v>
      </c>
    </row>
    <row r="189" customFormat="false" ht="15" hidden="false" customHeight="false" outlineLevel="0" collapsed="false">
      <c r="B189" s="37" t="n">
        <v>38933</v>
      </c>
      <c r="C189" s="38" t="n">
        <v>4.97</v>
      </c>
      <c r="D189" s="10" t="n">
        <v>4.96</v>
      </c>
      <c r="E189" s="13" t="n">
        <f aca="false">D189-C189</f>
        <v>-0.00999999999999979</v>
      </c>
    </row>
    <row r="190" customFormat="false" ht="15" hidden="false" customHeight="false" outlineLevel="0" collapsed="false">
      <c r="B190" s="37" t="n">
        <v>38940</v>
      </c>
      <c r="C190" s="38" t="n">
        <v>4.95</v>
      </c>
      <c r="D190" s="10" t="n">
        <v>4.94</v>
      </c>
      <c r="E190" s="13" t="n">
        <f aca="false">D190-C190</f>
        <v>-0.00999999999999979</v>
      </c>
    </row>
    <row r="191" customFormat="false" ht="15" hidden="false" customHeight="false" outlineLevel="0" collapsed="false">
      <c r="B191" s="37" t="n">
        <v>38947</v>
      </c>
      <c r="C191" s="38" t="n">
        <v>4.97</v>
      </c>
      <c r="D191" s="10" t="n">
        <v>4.9</v>
      </c>
      <c r="E191" s="13" t="n">
        <f aca="false">D191-C191</f>
        <v>-0.0699999999999994</v>
      </c>
    </row>
    <row r="192" customFormat="false" ht="15" hidden="false" customHeight="false" outlineLevel="0" collapsed="false">
      <c r="B192" s="37" t="n">
        <v>38954</v>
      </c>
      <c r="C192" s="38" t="n">
        <v>4.97</v>
      </c>
      <c r="D192" s="10" t="n">
        <v>4.81</v>
      </c>
      <c r="E192" s="13" t="n">
        <f aca="false">D192-C192</f>
        <v>-0.16</v>
      </c>
    </row>
    <row r="193" customFormat="false" ht="15" hidden="false" customHeight="false" outlineLevel="0" collapsed="false">
      <c r="B193" s="37" t="n">
        <v>38961</v>
      </c>
      <c r="C193" s="38" t="n">
        <v>4.93</v>
      </c>
      <c r="D193" s="10" t="n">
        <v>4.76</v>
      </c>
      <c r="E193" s="13" t="n">
        <f aca="false">D193-C193</f>
        <v>-0.17</v>
      </c>
    </row>
    <row r="194" customFormat="false" ht="15" hidden="false" customHeight="false" outlineLevel="0" collapsed="false">
      <c r="B194" s="37" t="n">
        <v>38968</v>
      </c>
      <c r="C194" s="38" t="n">
        <v>4.84</v>
      </c>
      <c r="D194" s="10" t="n">
        <v>4.79</v>
      </c>
      <c r="E194" s="13" t="n">
        <f aca="false">D194-C194</f>
        <v>-0.0499999999999998</v>
      </c>
    </row>
    <row r="195" customFormat="false" ht="15" hidden="false" customHeight="false" outlineLevel="0" collapsed="false">
      <c r="B195" s="37" t="n">
        <v>38975</v>
      </c>
      <c r="C195" s="38" t="n">
        <v>4.81</v>
      </c>
      <c r="D195" s="10" t="n">
        <v>4.79</v>
      </c>
      <c r="E195" s="13" t="n">
        <f aca="false">D195-C195</f>
        <v>-0.0199999999999996</v>
      </c>
    </row>
    <row r="196" customFormat="false" ht="15" hidden="false" customHeight="false" outlineLevel="0" collapsed="false">
      <c r="B196" s="37" t="n">
        <v>38982</v>
      </c>
      <c r="C196" s="38" t="n">
        <v>4.81</v>
      </c>
      <c r="D196" s="10" t="n">
        <v>4.71</v>
      </c>
      <c r="E196" s="13" t="n">
        <f aca="false">D196-C196</f>
        <v>-0.0999999999999996</v>
      </c>
    </row>
    <row r="197" customFormat="false" ht="15" hidden="false" customHeight="false" outlineLevel="0" collapsed="false">
      <c r="B197" s="37" t="n">
        <v>38989</v>
      </c>
      <c r="C197" s="38" t="n">
        <v>4.76</v>
      </c>
      <c r="D197" s="10" t="n">
        <v>4.6</v>
      </c>
      <c r="E197" s="13" t="n">
        <f aca="false">D197-C197</f>
        <v>-0.16</v>
      </c>
    </row>
    <row r="198" customFormat="false" ht="15" hidden="false" customHeight="false" outlineLevel="0" collapsed="false">
      <c r="B198" s="37" t="n">
        <v>38996</v>
      </c>
      <c r="C198" s="38" t="n">
        <v>4.79</v>
      </c>
      <c r="D198" s="10" t="n">
        <v>4.62</v>
      </c>
      <c r="E198" s="13" t="n">
        <f aca="false">D198-C198</f>
        <v>-0.17</v>
      </c>
    </row>
    <row r="199" customFormat="false" ht="15" hidden="false" customHeight="false" outlineLevel="0" collapsed="false">
      <c r="B199" s="37" t="n">
        <v>39003</v>
      </c>
      <c r="C199" s="38" t="n">
        <v>4.9</v>
      </c>
      <c r="D199" s="10" t="n">
        <v>4.78</v>
      </c>
      <c r="E199" s="13" t="n">
        <f aca="false">D199-C199</f>
        <v>-0.12</v>
      </c>
    </row>
    <row r="200" customFormat="false" ht="15" hidden="false" customHeight="false" outlineLevel="0" collapsed="false">
      <c r="B200" s="37" t="n">
        <v>39010</v>
      </c>
      <c r="C200" s="38" t="n">
        <v>4.96</v>
      </c>
      <c r="D200" s="10" t="n">
        <v>4.78</v>
      </c>
      <c r="E200" s="13" t="n">
        <f aca="false">D200-C200</f>
        <v>-0.18</v>
      </c>
    </row>
    <row r="201" customFormat="false" ht="15" hidden="false" customHeight="false" outlineLevel="0" collapsed="false">
      <c r="B201" s="37" t="n">
        <v>39017</v>
      </c>
      <c r="C201" s="38" t="n">
        <v>4.99</v>
      </c>
      <c r="D201" s="10" t="n">
        <v>4.77</v>
      </c>
      <c r="E201" s="13" t="n">
        <f aca="false">D201-C201</f>
        <v>-0.220000000000001</v>
      </c>
    </row>
    <row r="202" customFormat="false" ht="15" hidden="false" customHeight="false" outlineLevel="0" collapsed="false">
      <c r="B202" s="37" t="n">
        <v>39024</v>
      </c>
      <c r="C202" s="38" t="n">
        <v>4.95</v>
      </c>
      <c r="D202" s="10" t="n">
        <v>4.64</v>
      </c>
      <c r="E202" s="13" t="n">
        <f aca="false">D202-C202</f>
        <v>-0.31</v>
      </c>
    </row>
    <row r="203" customFormat="false" ht="15" hidden="false" customHeight="false" outlineLevel="0" collapsed="false">
      <c r="B203" s="37" t="n">
        <v>39031</v>
      </c>
      <c r="C203" s="38" t="n">
        <v>4.96</v>
      </c>
      <c r="D203" s="10" t="n">
        <v>4.64</v>
      </c>
      <c r="E203" s="13" t="n">
        <f aca="false">D203-C203</f>
        <v>-0.32</v>
      </c>
    </row>
    <row r="204" customFormat="false" ht="15" hidden="false" customHeight="false" outlineLevel="0" collapsed="false">
      <c r="B204" s="37" t="n">
        <v>39038</v>
      </c>
      <c r="C204" s="38" t="n">
        <v>4.96</v>
      </c>
      <c r="D204" s="10" t="n">
        <v>4.61</v>
      </c>
      <c r="E204" s="13" t="n">
        <f aca="false">D204-C204</f>
        <v>-0.35</v>
      </c>
    </row>
    <row r="205" customFormat="false" ht="15" hidden="false" customHeight="false" outlineLevel="0" collapsed="false">
      <c r="B205" s="37" t="n">
        <v>39045</v>
      </c>
      <c r="C205" s="38" t="n">
        <v>4.93</v>
      </c>
      <c r="D205" s="10" t="n">
        <v>4.58</v>
      </c>
      <c r="E205" s="13" t="n">
        <f aca="false">D205-C205</f>
        <v>-0.35</v>
      </c>
    </row>
    <row r="206" customFormat="false" ht="15" hidden="false" customHeight="false" outlineLevel="0" collapsed="false">
      <c r="B206" s="37" t="n">
        <v>39052</v>
      </c>
      <c r="C206" s="38" t="n">
        <v>4.91</v>
      </c>
      <c r="D206" s="10" t="n">
        <v>4.49</v>
      </c>
      <c r="E206" s="13" t="n">
        <f aca="false">D206-C206</f>
        <v>-0.42</v>
      </c>
    </row>
    <row r="207" customFormat="false" ht="15" hidden="false" customHeight="false" outlineLevel="0" collapsed="false">
      <c r="B207" s="37" t="n">
        <v>39059</v>
      </c>
      <c r="C207" s="38" t="n">
        <v>4.86</v>
      </c>
      <c r="D207" s="10" t="n">
        <v>4.48</v>
      </c>
      <c r="E207" s="13" t="n">
        <f aca="false">D207-C207</f>
        <v>-0.38</v>
      </c>
    </row>
    <row r="208" customFormat="false" ht="15" hidden="false" customHeight="false" outlineLevel="0" collapsed="false">
      <c r="B208" s="37" t="n">
        <v>39066</v>
      </c>
      <c r="C208" s="38" t="n">
        <v>4.81</v>
      </c>
      <c r="D208" s="10" t="n">
        <v>4.56</v>
      </c>
      <c r="E208" s="13" t="n">
        <f aca="false">D208-C208</f>
        <v>-0.25</v>
      </c>
    </row>
    <row r="209" customFormat="false" ht="15" hidden="false" customHeight="false" outlineLevel="0" collapsed="false">
      <c r="B209" s="37" t="n">
        <v>39073</v>
      </c>
      <c r="C209" s="38" t="n">
        <v>4.84</v>
      </c>
      <c r="D209" s="10" t="n">
        <v>4.6</v>
      </c>
      <c r="E209" s="13" t="n">
        <f aca="false">D209-C209</f>
        <v>-0.24</v>
      </c>
    </row>
    <row r="210" customFormat="false" ht="15" hidden="false" customHeight="false" outlineLevel="0" collapsed="false">
      <c r="B210" s="37" t="n">
        <v>39080</v>
      </c>
      <c r="C210" s="38" t="n">
        <v>4.87</v>
      </c>
      <c r="D210" s="10" t="n">
        <v>4.67</v>
      </c>
      <c r="E210" s="13" t="n">
        <f aca="false">D210-C210</f>
        <v>-0.2</v>
      </c>
    </row>
    <row r="211" customFormat="false" ht="15" hidden="false" customHeight="false" outlineLevel="0" collapsed="false">
      <c r="B211" s="37" t="n">
        <v>39087</v>
      </c>
      <c r="C211" s="38" t="n">
        <v>4.92</v>
      </c>
      <c r="D211" s="10" t="n">
        <v>4.66</v>
      </c>
      <c r="E211" s="13" t="n">
        <f aca="false">D211-C211</f>
        <v>-0.26</v>
      </c>
    </row>
    <row r="212" customFormat="false" ht="15" hidden="false" customHeight="false" outlineLevel="0" collapsed="false">
      <c r="B212" s="37" t="n">
        <v>39094</v>
      </c>
      <c r="C212" s="38" t="n">
        <v>4.96</v>
      </c>
      <c r="D212" s="10" t="n">
        <v>4.7</v>
      </c>
      <c r="E212" s="13" t="n">
        <f aca="false">D212-C212</f>
        <v>-0.26</v>
      </c>
    </row>
    <row r="213" customFormat="false" ht="15" hidden="false" customHeight="false" outlineLevel="0" collapsed="false">
      <c r="B213" s="37" t="n">
        <v>39101</v>
      </c>
      <c r="C213" s="38" t="n">
        <v>4.99</v>
      </c>
      <c r="D213" s="10" t="n">
        <v>4.77</v>
      </c>
      <c r="E213" s="13" t="n">
        <f aca="false">D213-C213</f>
        <v>-0.220000000000001</v>
      </c>
    </row>
    <row r="214" customFormat="false" ht="15" hidden="false" customHeight="false" outlineLevel="0" collapsed="false">
      <c r="B214" s="37" t="n">
        <v>39108</v>
      </c>
      <c r="C214" s="38" t="n">
        <v>5</v>
      </c>
      <c r="D214" s="10" t="n">
        <v>4.83</v>
      </c>
      <c r="E214" s="13" t="n">
        <f aca="false">D214-C214</f>
        <v>-0.17</v>
      </c>
    </row>
    <row r="215" customFormat="false" ht="15" hidden="false" customHeight="false" outlineLevel="0" collapsed="false">
      <c r="B215" s="37" t="n">
        <v>39115</v>
      </c>
      <c r="C215" s="38" t="n">
        <v>5</v>
      </c>
      <c r="D215" s="10" t="n">
        <v>4.86</v>
      </c>
      <c r="E215" s="13" t="n">
        <f aca="false">D215-C215</f>
        <v>-0.14</v>
      </c>
    </row>
    <row r="216" customFormat="false" ht="15" hidden="false" customHeight="false" outlineLevel="0" collapsed="false">
      <c r="B216" s="37" t="n">
        <v>39122</v>
      </c>
      <c r="C216" s="38" t="n">
        <v>5.02</v>
      </c>
      <c r="D216" s="10" t="n">
        <v>4.77</v>
      </c>
      <c r="E216" s="13" t="n">
        <f aca="false">D216-C216</f>
        <v>-0.25</v>
      </c>
    </row>
    <row r="217" customFormat="false" ht="15" hidden="false" customHeight="false" outlineLevel="0" collapsed="false">
      <c r="B217" s="37" t="n">
        <v>39129</v>
      </c>
      <c r="C217" s="38" t="n">
        <v>5.03</v>
      </c>
      <c r="D217" s="10" t="n">
        <v>4.75</v>
      </c>
      <c r="E217" s="13" t="n">
        <f aca="false">D217-C217</f>
        <v>-0.28</v>
      </c>
    </row>
    <row r="218" customFormat="false" ht="15" hidden="false" customHeight="false" outlineLevel="0" collapsed="false">
      <c r="B218" s="37" t="n">
        <v>39136</v>
      </c>
      <c r="C218" s="38" t="n">
        <v>5.05</v>
      </c>
      <c r="D218" s="10" t="n">
        <v>4.7</v>
      </c>
      <c r="E218" s="13" t="n">
        <f aca="false">D218-C218</f>
        <v>-0.35</v>
      </c>
    </row>
    <row r="219" customFormat="false" ht="15" hidden="false" customHeight="false" outlineLevel="0" collapsed="false">
      <c r="B219" s="37" t="n">
        <v>39143</v>
      </c>
      <c r="C219" s="38" t="n">
        <v>5.01</v>
      </c>
      <c r="D219" s="10" t="n">
        <v>4.55</v>
      </c>
      <c r="E219" s="13" t="n">
        <f aca="false">D219-C219</f>
        <v>-0.46</v>
      </c>
    </row>
    <row r="220" customFormat="false" ht="15" hidden="false" customHeight="false" outlineLevel="0" collapsed="false">
      <c r="B220" s="37" t="n">
        <v>39150</v>
      </c>
      <c r="C220" s="38" t="n">
        <v>4.97</v>
      </c>
      <c r="D220" s="10" t="n">
        <v>4.53</v>
      </c>
      <c r="E220" s="13" t="n">
        <f aca="false">D220-C220</f>
        <v>-0.44</v>
      </c>
    </row>
    <row r="221" customFormat="false" ht="15" hidden="false" customHeight="false" outlineLevel="0" collapsed="false">
      <c r="B221" s="37" t="n">
        <v>39157</v>
      </c>
      <c r="C221" s="38" t="n">
        <v>4.93</v>
      </c>
      <c r="D221" s="10" t="n">
        <v>4.54</v>
      </c>
      <c r="E221" s="13" t="n">
        <f aca="false">D221-C221</f>
        <v>-0.39</v>
      </c>
    </row>
    <row r="222" customFormat="false" ht="15" hidden="false" customHeight="false" outlineLevel="0" collapsed="false">
      <c r="B222" s="37" t="n">
        <v>39164</v>
      </c>
      <c r="C222" s="38" t="n">
        <v>4.92</v>
      </c>
      <c r="D222" s="10" t="n">
        <v>4.58</v>
      </c>
      <c r="E222" s="13" t="n">
        <f aca="false">D222-C222</f>
        <v>-0.34</v>
      </c>
    </row>
    <row r="223" customFormat="false" ht="15" hidden="false" customHeight="false" outlineLevel="0" collapsed="false">
      <c r="B223" s="37" t="n">
        <v>39171</v>
      </c>
      <c r="C223" s="38" t="n">
        <v>4.92</v>
      </c>
      <c r="D223" s="10" t="n">
        <v>4.63</v>
      </c>
      <c r="E223" s="13" t="n">
        <f aca="false">D223-C223</f>
        <v>-0.29</v>
      </c>
    </row>
    <row r="224" customFormat="false" ht="15" hidden="false" customHeight="false" outlineLevel="0" collapsed="false">
      <c r="B224" s="37" t="n">
        <v>39178</v>
      </c>
      <c r="C224" s="38" t="n">
        <v>4.91</v>
      </c>
      <c r="D224" s="10" t="n">
        <v>4.68</v>
      </c>
      <c r="E224" s="13" t="n">
        <f aca="false">D224-C224</f>
        <v>-0.23</v>
      </c>
    </row>
    <row r="225" customFormat="false" ht="15" hidden="false" customHeight="false" outlineLevel="0" collapsed="false">
      <c r="B225" s="37" t="n">
        <v>39185</v>
      </c>
      <c r="C225" s="38" t="n">
        <v>4.89</v>
      </c>
      <c r="D225" s="10" t="n">
        <v>4.74</v>
      </c>
      <c r="E225" s="13" t="n">
        <f aca="false">D225-C225</f>
        <v>-0.149999999999999</v>
      </c>
    </row>
    <row r="226" customFormat="false" ht="15" hidden="false" customHeight="false" outlineLevel="0" collapsed="false">
      <c r="B226" s="37" t="n">
        <v>39192</v>
      </c>
      <c r="C226" s="38" t="n">
        <v>4.86</v>
      </c>
      <c r="D226" s="10" t="n">
        <v>4.69</v>
      </c>
      <c r="E226" s="13" t="n">
        <f aca="false">D226-C226</f>
        <v>-0.17</v>
      </c>
    </row>
    <row r="227" customFormat="false" ht="15" hidden="false" customHeight="false" outlineLevel="0" collapsed="false">
      <c r="B227" s="37" t="n">
        <v>39199</v>
      </c>
      <c r="C227" s="38" t="n">
        <v>4.83</v>
      </c>
      <c r="D227" s="10" t="n">
        <v>4.67</v>
      </c>
      <c r="E227" s="13" t="n">
        <f aca="false">D227-C227</f>
        <v>-0.16</v>
      </c>
    </row>
    <row r="228" customFormat="false" ht="15" hidden="false" customHeight="false" outlineLevel="0" collapsed="false">
      <c r="B228" s="37" t="n">
        <v>39206</v>
      </c>
      <c r="C228" s="38" t="n">
        <v>4.77</v>
      </c>
      <c r="D228" s="10" t="n">
        <v>4.65</v>
      </c>
      <c r="E228" s="13" t="n">
        <f aca="false">D228-C228</f>
        <v>-0.119999999999999</v>
      </c>
    </row>
    <row r="229" customFormat="false" ht="15" hidden="false" customHeight="false" outlineLevel="0" collapsed="false">
      <c r="B229" s="37" t="n">
        <v>39213</v>
      </c>
      <c r="C229" s="38" t="n">
        <v>4.75</v>
      </c>
      <c r="D229" s="10" t="n">
        <v>4.65</v>
      </c>
      <c r="E229" s="13" t="n">
        <f aca="false">D229-C229</f>
        <v>-0.0999999999999996</v>
      </c>
    </row>
    <row r="230" customFormat="false" ht="15" hidden="false" customHeight="false" outlineLevel="0" collapsed="false">
      <c r="B230" s="37" t="n">
        <v>39220</v>
      </c>
      <c r="C230" s="38" t="n">
        <v>4.69</v>
      </c>
      <c r="D230" s="10" t="n">
        <v>4.74</v>
      </c>
      <c r="E230" s="13" t="n">
        <f aca="false">D230-C230</f>
        <v>0.0499999999999998</v>
      </c>
    </row>
    <row r="231" customFormat="false" ht="15" hidden="false" customHeight="false" outlineLevel="0" collapsed="false">
      <c r="B231" s="37" t="n">
        <v>39227</v>
      </c>
      <c r="C231" s="38" t="n">
        <v>4.77</v>
      </c>
      <c r="D231" s="10" t="n">
        <v>4.84</v>
      </c>
      <c r="E231" s="13" t="n">
        <f aca="false">D231-C231</f>
        <v>0.0700000000000003</v>
      </c>
    </row>
    <row r="232" customFormat="false" ht="15" hidden="false" customHeight="false" outlineLevel="0" collapsed="false">
      <c r="B232" s="37" t="n">
        <v>39234</v>
      </c>
      <c r="C232" s="38" t="n">
        <v>4.68</v>
      </c>
      <c r="D232" s="10" t="n">
        <v>4.9</v>
      </c>
      <c r="E232" s="13" t="n">
        <f aca="false">D232-C232</f>
        <v>0.220000000000001</v>
      </c>
    </row>
    <row r="233" customFormat="false" ht="15" hidden="false" customHeight="false" outlineLevel="0" collapsed="false">
      <c r="B233" s="37" t="n">
        <v>39241</v>
      </c>
      <c r="C233" s="38" t="n">
        <v>4.67</v>
      </c>
      <c r="D233" s="10" t="n">
        <v>5.02</v>
      </c>
      <c r="E233" s="13" t="n">
        <f aca="false">D233-C233</f>
        <v>0.35</v>
      </c>
    </row>
    <row r="234" customFormat="false" ht="15" hidden="false" customHeight="false" outlineLevel="0" collapsed="false">
      <c r="B234" s="37" t="n">
        <v>39248</v>
      </c>
      <c r="C234" s="38" t="n">
        <v>4.53</v>
      </c>
      <c r="D234" s="10" t="n">
        <v>5.2</v>
      </c>
      <c r="E234" s="13" t="n">
        <f aca="false">D234-C234</f>
        <v>0.67</v>
      </c>
    </row>
    <row r="235" customFormat="false" ht="15" hidden="false" customHeight="false" outlineLevel="0" collapsed="false">
      <c r="B235" s="37" t="n">
        <v>39255</v>
      </c>
      <c r="C235" s="38" t="n">
        <v>4.56</v>
      </c>
      <c r="D235" s="10" t="n">
        <v>5.14</v>
      </c>
      <c r="E235" s="13" t="n">
        <f aca="false">D235-C235</f>
        <v>0.58</v>
      </c>
    </row>
    <row r="236" customFormat="false" ht="15" hidden="false" customHeight="false" outlineLevel="0" collapsed="false">
      <c r="B236" s="37" t="n">
        <v>39262</v>
      </c>
      <c r="C236" s="38" t="n">
        <v>4.67</v>
      </c>
      <c r="D236" s="10" t="n">
        <v>5.09</v>
      </c>
      <c r="E236" s="13" t="n">
        <f aca="false">D236-C236</f>
        <v>0.42</v>
      </c>
    </row>
    <row r="237" customFormat="false" ht="15" hidden="false" customHeight="false" outlineLevel="0" collapsed="false">
      <c r="B237" s="37" t="n">
        <v>39269</v>
      </c>
      <c r="C237" s="38" t="n">
        <v>4.81</v>
      </c>
      <c r="D237" s="10" t="n">
        <v>5.1</v>
      </c>
      <c r="E237" s="13" t="n">
        <f aca="false">D237-C237</f>
        <v>0.29</v>
      </c>
    </row>
    <row r="238" customFormat="false" ht="15" hidden="false" customHeight="false" outlineLevel="0" collapsed="false">
      <c r="B238" s="37" t="n">
        <v>39276</v>
      </c>
      <c r="C238" s="38" t="n">
        <v>4.82</v>
      </c>
      <c r="D238" s="10" t="n">
        <v>5.1</v>
      </c>
      <c r="E238" s="13" t="n">
        <f aca="false">D238-C238</f>
        <v>0.279999999999999</v>
      </c>
    </row>
    <row r="239" customFormat="false" ht="15" hidden="false" customHeight="false" outlineLevel="0" collapsed="false">
      <c r="B239" s="37" t="n">
        <v>39283</v>
      </c>
      <c r="C239" s="38" t="n">
        <v>4.83</v>
      </c>
      <c r="D239" s="10" t="n">
        <v>5.03</v>
      </c>
      <c r="E239" s="13" t="n">
        <f aca="false">D239-C239</f>
        <v>0.2</v>
      </c>
    </row>
    <row r="240" customFormat="false" ht="15" hidden="false" customHeight="false" outlineLevel="0" collapsed="false">
      <c r="B240" s="37" t="n">
        <v>39290</v>
      </c>
      <c r="C240" s="38" t="n">
        <v>4.82</v>
      </c>
      <c r="D240" s="10" t="n">
        <v>4.88</v>
      </c>
      <c r="E240" s="13" t="n">
        <f aca="false">D240-C240</f>
        <v>0.0599999999999996</v>
      </c>
    </row>
    <row r="241" customFormat="false" ht="15" hidden="false" customHeight="false" outlineLevel="0" collapsed="false">
      <c r="B241" s="37" t="n">
        <v>39297</v>
      </c>
      <c r="C241" s="38" t="n">
        <v>4.77</v>
      </c>
      <c r="D241" s="10" t="n">
        <v>4.77</v>
      </c>
      <c r="E241" s="13" t="n">
        <f aca="false">D241-C241</f>
        <v>0</v>
      </c>
    </row>
    <row r="242" customFormat="false" ht="15" hidden="false" customHeight="false" outlineLevel="0" collapsed="false">
      <c r="B242" s="37" t="n">
        <v>39304</v>
      </c>
      <c r="C242" s="38" t="n">
        <v>4.69</v>
      </c>
      <c r="D242" s="10" t="n">
        <v>4.79</v>
      </c>
      <c r="E242" s="13" t="n">
        <f aca="false">D242-C242</f>
        <v>0.0999999999999996</v>
      </c>
    </row>
    <row r="243" customFormat="false" ht="15" hidden="false" customHeight="false" outlineLevel="0" collapsed="false">
      <c r="B243" s="37" t="n">
        <v>39311</v>
      </c>
      <c r="C243" s="38" t="n">
        <v>4.11</v>
      </c>
      <c r="D243" s="10" t="n">
        <v>4.7</v>
      </c>
      <c r="E243" s="13" t="n">
        <f aca="false">D243-C243</f>
        <v>0.59</v>
      </c>
    </row>
    <row r="244" customFormat="false" ht="15" hidden="false" customHeight="false" outlineLevel="0" collapsed="false">
      <c r="B244" s="37" t="n">
        <v>39318</v>
      </c>
      <c r="C244" s="38" t="n">
        <v>3.62</v>
      </c>
      <c r="D244" s="10" t="n">
        <v>4.62</v>
      </c>
      <c r="E244" s="13" t="n">
        <f aca="false">D244-C244</f>
        <v>1</v>
      </c>
    </row>
    <row r="245" customFormat="false" ht="15" hidden="false" customHeight="false" outlineLevel="0" collapsed="false">
      <c r="B245" s="37" t="n">
        <v>39325</v>
      </c>
      <c r="C245" s="38" t="n">
        <v>4.06</v>
      </c>
      <c r="D245" s="10" t="n">
        <v>4.55</v>
      </c>
      <c r="E245" s="13" t="n">
        <f aca="false">D245-C245</f>
        <v>0.49</v>
      </c>
    </row>
    <row r="246" customFormat="false" ht="15" hidden="false" customHeight="false" outlineLevel="0" collapsed="false">
      <c r="B246" s="37" t="n">
        <v>39332</v>
      </c>
      <c r="C246" s="38" t="n">
        <v>4.18</v>
      </c>
      <c r="D246" s="10" t="n">
        <v>4.48</v>
      </c>
      <c r="E246" s="13" t="n">
        <f aca="false">D246-C246</f>
        <v>0.300000000000001</v>
      </c>
    </row>
    <row r="247" customFormat="false" ht="15" hidden="false" customHeight="false" outlineLevel="0" collapsed="false">
      <c r="B247" s="37" t="n">
        <v>39339</v>
      </c>
      <c r="C247" s="38" t="n">
        <v>3.93</v>
      </c>
      <c r="D247" s="10" t="n">
        <v>4.42</v>
      </c>
      <c r="E247" s="13" t="n">
        <f aca="false">D247-C247</f>
        <v>0.49</v>
      </c>
    </row>
    <row r="248" customFormat="false" ht="15" hidden="false" customHeight="false" outlineLevel="0" collapsed="false">
      <c r="B248" s="37" t="n">
        <v>39346</v>
      </c>
      <c r="C248" s="38" t="n">
        <v>3.82</v>
      </c>
      <c r="D248" s="10" t="n">
        <v>4.57</v>
      </c>
      <c r="E248" s="13" t="n">
        <f aca="false">D248-C248</f>
        <v>0.75</v>
      </c>
    </row>
    <row r="249" customFormat="false" ht="15" hidden="false" customHeight="false" outlineLevel="0" collapsed="false">
      <c r="B249" s="37" t="n">
        <v>39353</v>
      </c>
      <c r="C249" s="38" t="n">
        <v>3.69</v>
      </c>
      <c r="D249" s="10" t="n">
        <v>4.61</v>
      </c>
      <c r="E249" s="13" t="n">
        <f aca="false">D249-C249</f>
        <v>0.92</v>
      </c>
    </row>
    <row r="250" customFormat="false" ht="15" hidden="false" customHeight="false" outlineLevel="0" collapsed="false">
      <c r="B250" s="37" t="n">
        <v>39360</v>
      </c>
      <c r="C250" s="38" t="n">
        <v>3.86</v>
      </c>
      <c r="D250" s="10" t="n">
        <v>4.57</v>
      </c>
      <c r="E250" s="13" t="n">
        <f aca="false">D250-C250</f>
        <v>0.71</v>
      </c>
    </row>
    <row r="251" customFormat="false" ht="15" hidden="false" customHeight="false" outlineLevel="0" collapsed="false">
      <c r="B251" s="37" t="n">
        <v>39367</v>
      </c>
      <c r="C251" s="38" t="n">
        <v>4</v>
      </c>
      <c r="D251" s="10" t="n">
        <v>4.67</v>
      </c>
      <c r="E251" s="13" t="n">
        <f aca="false">D251-C251</f>
        <v>0.67</v>
      </c>
    </row>
    <row r="252" customFormat="false" ht="15" hidden="false" customHeight="false" outlineLevel="0" collapsed="false">
      <c r="B252" s="37" t="n">
        <v>39374</v>
      </c>
      <c r="C252" s="38" t="n">
        <v>3.93</v>
      </c>
      <c r="D252" s="10" t="n">
        <v>4.57</v>
      </c>
      <c r="E252" s="13" t="n">
        <f aca="false">D252-C252</f>
        <v>0.64</v>
      </c>
    </row>
    <row r="253" customFormat="false" ht="15" hidden="false" customHeight="false" outlineLevel="0" collapsed="false">
      <c r="B253" s="37" t="n">
        <v>39381</v>
      </c>
      <c r="C253" s="38" t="n">
        <v>3.85</v>
      </c>
      <c r="D253" s="10" t="n">
        <v>4.39</v>
      </c>
      <c r="E253" s="13" t="n">
        <f aca="false">D253-C253</f>
        <v>0.54</v>
      </c>
    </row>
    <row r="254" customFormat="false" ht="15" hidden="false" customHeight="false" outlineLevel="0" collapsed="false">
      <c r="B254" s="37" t="n">
        <v>39388</v>
      </c>
      <c r="C254" s="38" t="n">
        <v>3.77</v>
      </c>
      <c r="D254" s="10" t="n">
        <v>4.39</v>
      </c>
      <c r="E254" s="13" t="n">
        <f aca="false">D254-C254</f>
        <v>0.62</v>
      </c>
    </row>
    <row r="255" customFormat="false" ht="15" hidden="false" customHeight="false" outlineLevel="0" collapsed="false">
      <c r="B255" s="37" t="n">
        <v>39395</v>
      </c>
      <c r="C255" s="38" t="n">
        <v>3.43</v>
      </c>
      <c r="D255" s="10" t="n">
        <v>4.32</v>
      </c>
      <c r="E255" s="13" t="n">
        <f aca="false">D255-C255</f>
        <v>0.89</v>
      </c>
    </row>
    <row r="256" customFormat="false" ht="15" hidden="false" customHeight="false" outlineLevel="0" collapsed="false">
      <c r="B256" s="37" t="n">
        <v>39402</v>
      </c>
      <c r="C256" s="38" t="n">
        <v>3.32</v>
      </c>
      <c r="D256" s="10" t="n">
        <v>4.22</v>
      </c>
      <c r="E256" s="13" t="n">
        <f aca="false">D256-C256</f>
        <v>0.9</v>
      </c>
    </row>
    <row r="257" customFormat="false" ht="15" hidden="false" customHeight="false" outlineLevel="0" collapsed="false">
      <c r="B257" s="37" t="n">
        <v>39409</v>
      </c>
      <c r="C257" s="38" t="n">
        <v>3.17</v>
      </c>
      <c r="D257" s="10" t="n">
        <v>4.04</v>
      </c>
      <c r="E257" s="13" t="n">
        <f aca="false">D257-C257</f>
        <v>0.87</v>
      </c>
    </row>
    <row r="258" customFormat="false" ht="15" hidden="false" customHeight="false" outlineLevel="0" collapsed="false">
      <c r="B258" s="37" t="n">
        <v>39416</v>
      </c>
      <c r="C258" s="38" t="n">
        <v>3.02</v>
      </c>
      <c r="D258" s="10" t="n">
        <v>3.94</v>
      </c>
      <c r="E258" s="13" t="n">
        <f aca="false">D258-C258</f>
        <v>0.92</v>
      </c>
    </row>
    <row r="259" customFormat="false" ht="15" hidden="false" customHeight="false" outlineLevel="0" collapsed="false">
      <c r="B259" s="37" t="n">
        <v>39423</v>
      </c>
      <c r="C259" s="38" t="n">
        <v>3.01</v>
      </c>
      <c r="D259" s="10" t="n">
        <v>3.97</v>
      </c>
      <c r="E259" s="13" t="n">
        <f aca="false">D259-C259</f>
        <v>0.96</v>
      </c>
    </row>
    <row r="260" customFormat="false" ht="15" hidden="false" customHeight="false" outlineLevel="0" collapsed="false">
      <c r="B260" s="37" t="n">
        <v>39430</v>
      </c>
      <c r="C260" s="38" t="n">
        <v>2.85</v>
      </c>
      <c r="D260" s="10" t="n">
        <v>4.12</v>
      </c>
      <c r="E260" s="13" t="n">
        <f aca="false">D260-C260</f>
        <v>1.27</v>
      </c>
    </row>
    <row r="261" customFormat="false" ht="15" hidden="false" customHeight="false" outlineLevel="0" collapsed="false">
      <c r="B261" s="37" t="n">
        <v>39437</v>
      </c>
      <c r="C261" s="38" t="n">
        <v>2.92</v>
      </c>
      <c r="D261" s="10" t="n">
        <v>4.12</v>
      </c>
      <c r="E261" s="13" t="n">
        <f aca="false">D261-C261</f>
        <v>1.2</v>
      </c>
    </row>
    <row r="262" customFormat="false" ht="15" hidden="false" customHeight="false" outlineLevel="0" collapsed="false">
      <c r="B262" s="37" t="n">
        <v>39444</v>
      </c>
      <c r="C262" s="38" t="n">
        <v>3.17</v>
      </c>
      <c r="D262" s="10" t="n">
        <v>4.21</v>
      </c>
      <c r="E262" s="13" t="n">
        <f aca="false">D262-C262</f>
        <v>1.04</v>
      </c>
      <c r="F262" s="0" t="s">
        <v>30</v>
      </c>
    </row>
    <row r="263" customFormat="false" ht="15" hidden="false" customHeight="false" outlineLevel="0" collapsed="false">
      <c r="B263" s="37" t="n">
        <v>39451</v>
      </c>
      <c r="C263" s="38" t="n">
        <v>3.19</v>
      </c>
      <c r="D263" s="10" t="n">
        <v>3.94</v>
      </c>
      <c r="E263" s="13" t="n">
        <f aca="false">D263-C263</f>
        <v>0.75</v>
      </c>
      <c r="F263" s="0" t="s">
        <v>30</v>
      </c>
    </row>
    <row r="264" customFormat="false" ht="15" hidden="false" customHeight="false" outlineLevel="0" collapsed="false">
      <c r="B264" s="37" t="n">
        <v>39458</v>
      </c>
      <c r="C264" s="38" t="n">
        <v>3.14</v>
      </c>
      <c r="D264" s="10" t="n">
        <v>3.85</v>
      </c>
      <c r="E264" s="13" t="n">
        <f aca="false">D264-C264</f>
        <v>0.71</v>
      </c>
    </row>
    <row r="265" customFormat="false" ht="15" hidden="false" customHeight="false" outlineLevel="0" collapsed="false">
      <c r="B265" s="37" t="n">
        <v>39465</v>
      </c>
      <c r="C265" s="38" t="n">
        <v>3.01</v>
      </c>
      <c r="D265" s="10" t="n">
        <v>3.72</v>
      </c>
      <c r="E265" s="13" t="n">
        <f aca="false">D265-C265</f>
        <v>0.71</v>
      </c>
    </row>
    <row r="266" customFormat="false" ht="15" hidden="false" customHeight="false" outlineLevel="0" collapsed="false">
      <c r="B266" s="37" t="n">
        <v>39472</v>
      </c>
      <c r="C266" s="38" t="n">
        <v>2.26</v>
      </c>
      <c r="D266" s="10" t="n">
        <v>3.58</v>
      </c>
      <c r="E266" s="13" t="n">
        <f aca="false">D266-C266</f>
        <v>1.32</v>
      </c>
    </row>
    <row r="267" customFormat="false" ht="15" hidden="false" customHeight="false" outlineLevel="0" collapsed="false">
      <c r="B267" s="37" t="n">
        <v>39479</v>
      </c>
      <c r="C267" s="38" t="n">
        <v>2.13</v>
      </c>
      <c r="D267" s="10" t="n">
        <v>3.67</v>
      </c>
      <c r="E267" s="13" t="n">
        <f aca="false">D267-C267</f>
        <v>1.54</v>
      </c>
    </row>
    <row r="268" customFormat="false" ht="15" hidden="false" customHeight="false" outlineLevel="0" collapsed="false">
      <c r="B268" s="37" t="n">
        <v>39486</v>
      </c>
      <c r="C268" s="38" t="n">
        <v>2.14</v>
      </c>
      <c r="D268" s="10" t="n">
        <v>3.66</v>
      </c>
      <c r="E268" s="13" t="n">
        <f aca="false">D268-C268</f>
        <v>1.52</v>
      </c>
    </row>
    <row r="269" customFormat="false" ht="15" hidden="false" customHeight="false" outlineLevel="0" collapsed="false">
      <c r="B269" s="37" t="n">
        <v>39493</v>
      </c>
      <c r="C269" s="38" t="n">
        <v>2.23</v>
      </c>
      <c r="D269" s="10" t="n">
        <v>3.72</v>
      </c>
      <c r="E269" s="13" t="n">
        <f aca="false">D269-C269</f>
        <v>1.49</v>
      </c>
    </row>
    <row r="270" customFormat="false" ht="15" hidden="false" customHeight="false" outlineLevel="0" collapsed="false">
      <c r="B270" s="37" t="n">
        <v>39500</v>
      </c>
      <c r="C270" s="38" t="n">
        <v>2.18</v>
      </c>
      <c r="D270" s="10" t="n">
        <v>3.85</v>
      </c>
      <c r="E270" s="13" t="n">
        <f aca="false">D270-C270</f>
        <v>1.67</v>
      </c>
    </row>
    <row r="271" customFormat="false" ht="15" hidden="false" customHeight="false" outlineLevel="0" collapsed="false">
      <c r="B271" s="37" t="n">
        <v>39507</v>
      </c>
      <c r="C271" s="38" t="n">
        <v>1.97</v>
      </c>
      <c r="D271" s="10" t="n">
        <v>3.78</v>
      </c>
      <c r="E271" s="13" t="n">
        <f aca="false">D271-C271</f>
        <v>1.81</v>
      </c>
    </row>
    <row r="272" customFormat="false" ht="15" hidden="false" customHeight="false" outlineLevel="0" collapsed="false">
      <c r="B272" s="37" t="n">
        <v>39514</v>
      </c>
      <c r="C272" s="38" t="n">
        <v>1.52</v>
      </c>
      <c r="D272" s="10" t="n">
        <v>3.61</v>
      </c>
      <c r="E272" s="13" t="n">
        <f aca="false">D272-C272</f>
        <v>2.09</v>
      </c>
    </row>
    <row r="273" customFormat="false" ht="15" hidden="false" customHeight="false" outlineLevel="0" collapsed="false">
      <c r="B273" s="37" t="n">
        <v>39521</v>
      </c>
      <c r="C273" s="38" t="n">
        <v>1.34</v>
      </c>
      <c r="D273" s="10" t="n">
        <v>3.51</v>
      </c>
      <c r="E273" s="13" t="n">
        <f aca="false">D273-C273</f>
        <v>2.17</v>
      </c>
    </row>
    <row r="274" customFormat="false" ht="15" hidden="false" customHeight="false" outlineLevel="0" collapsed="false">
      <c r="B274" s="37" t="n">
        <v>39528</v>
      </c>
      <c r="C274" s="38" t="n">
        <v>0.81</v>
      </c>
      <c r="D274" s="10" t="n">
        <v>3.39</v>
      </c>
      <c r="E274" s="13" t="n">
        <f aca="false">D274-C274</f>
        <v>2.58</v>
      </c>
    </row>
    <row r="275" customFormat="false" ht="15" hidden="false" customHeight="false" outlineLevel="0" collapsed="false">
      <c r="B275" s="37" t="n">
        <v>39535</v>
      </c>
      <c r="C275" s="38" t="n">
        <v>1.27</v>
      </c>
      <c r="D275" s="10" t="n">
        <v>3.52</v>
      </c>
      <c r="E275" s="13" t="n">
        <f aca="false">D275-C275</f>
        <v>2.25</v>
      </c>
    </row>
    <row r="276" customFormat="false" ht="15" hidden="false" customHeight="false" outlineLevel="0" collapsed="false">
      <c r="B276" s="37" t="n">
        <v>39542</v>
      </c>
      <c r="C276" s="38" t="n">
        <v>1.37</v>
      </c>
      <c r="D276" s="10" t="n">
        <v>3.55</v>
      </c>
      <c r="E276" s="13" t="n">
        <f aca="false">D276-C276</f>
        <v>2.18</v>
      </c>
    </row>
    <row r="277" customFormat="false" ht="15" hidden="false" customHeight="false" outlineLevel="0" collapsed="false">
      <c r="B277" s="37" t="n">
        <v>39549</v>
      </c>
      <c r="C277" s="38" t="n">
        <v>1.31</v>
      </c>
      <c r="D277" s="10" t="n">
        <v>3.54</v>
      </c>
      <c r="E277" s="13" t="n">
        <f aca="false">D277-C277</f>
        <v>2.23</v>
      </c>
    </row>
    <row r="278" customFormat="false" ht="15" hidden="false" customHeight="false" outlineLevel="0" collapsed="false">
      <c r="B278" s="37" t="n">
        <v>39556</v>
      </c>
      <c r="C278" s="38" t="n">
        <v>1.16</v>
      </c>
      <c r="D278" s="10" t="n">
        <v>3.67</v>
      </c>
      <c r="E278" s="13" t="n">
        <f aca="false">D278-C278</f>
        <v>2.51</v>
      </c>
    </row>
    <row r="279" customFormat="false" ht="15" hidden="false" customHeight="false" outlineLevel="0" collapsed="false">
      <c r="B279" s="37" t="n">
        <v>39563</v>
      </c>
      <c r="C279" s="38" t="n">
        <v>1.28</v>
      </c>
      <c r="D279" s="10" t="n">
        <v>3.81</v>
      </c>
      <c r="E279" s="13" t="n">
        <f aca="false">D279-C279</f>
        <v>2.53</v>
      </c>
    </row>
    <row r="280" customFormat="false" ht="15" hidden="false" customHeight="false" outlineLevel="0" collapsed="false">
      <c r="B280" s="37" t="n">
        <v>39570</v>
      </c>
      <c r="C280" s="38" t="n">
        <v>1.43</v>
      </c>
      <c r="D280" s="10" t="n">
        <v>3.83</v>
      </c>
      <c r="E280" s="13" t="n">
        <f aca="false">D280-C280</f>
        <v>2.4</v>
      </c>
    </row>
    <row r="281" customFormat="false" ht="15" hidden="false" customHeight="false" outlineLevel="0" collapsed="false">
      <c r="B281" s="37" t="n">
        <v>39577</v>
      </c>
      <c r="C281" s="38" t="n">
        <v>1.61</v>
      </c>
      <c r="D281" s="10" t="n">
        <v>3.85</v>
      </c>
      <c r="E281" s="13" t="n">
        <f aca="false">D281-C281</f>
        <v>2.24</v>
      </c>
    </row>
    <row r="282" customFormat="false" ht="15" hidden="false" customHeight="false" outlineLevel="0" collapsed="false">
      <c r="B282" s="37" t="n">
        <v>39584</v>
      </c>
      <c r="C282" s="38" t="n">
        <v>1.79</v>
      </c>
      <c r="D282" s="10" t="n">
        <v>3.86</v>
      </c>
      <c r="E282" s="13" t="n">
        <f aca="false">D282-C282</f>
        <v>2.07</v>
      </c>
    </row>
    <row r="283" customFormat="false" ht="15" hidden="false" customHeight="false" outlineLevel="0" collapsed="false">
      <c r="B283" s="37" t="n">
        <v>39591</v>
      </c>
      <c r="C283" s="38" t="n">
        <v>1.82</v>
      </c>
      <c r="D283" s="10" t="n">
        <v>3.84</v>
      </c>
      <c r="E283" s="13" t="n">
        <f aca="false">D283-C283</f>
        <v>2.02</v>
      </c>
    </row>
    <row r="284" customFormat="false" ht="15" hidden="false" customHeight="false" outlineLevel="0" collapsed="false">
      <c r="B284" s="37" t="n">
        <v>39598</v>
      </c>
      <c r="C284" s="38" t="n">
        <v>1.86</v>
      </c>
      <c r="D284" s="10" t="n">
        <v>4.03</v>
      </c>
      <c r="E284" s="13" t="n">
        <f aca="false">D284-C284</f>
        <v>2.17</v>
      </c>
    </row>
    <row r="285" customFormat="false" ht="15" hidden="false" customHeight="false" outlineLevel="0" collapsed="false">
      <c r="B285" s="37" t="n">
        <v>39605</v>
      </c>
      <c r="C285" s="38" t="n">
        <v>1.82</v>
      </c>
      <c r="D285" s="10" t="n">
        <v>3.98</v>
      </c>
      <c r="E285" s="13" t="n">
        <f aca="false">D285-C285</f>
        <v>2.16</v>
      </c>
    </row>
    <row r="286" customFormat="false" ht="15" hidden="false" customHeight="false" outlineLevel="0" collapsed="false">
      <c r="B286" s="37" t="n">
        <v>39612</v>
      </c>
      <c r="C286" s="38" t="n">
        <v>1.93</v>
      </c>
      <c r="D286" s="10" t="n">
        <v>4.15</v>
      </c>
      <c r="E286" s="13" t="n">
        <f aca="false">D286-C286</f>
        <v>2.22</v>
      </c>
    </row>
    <row r="287" customFormat="false" ht="15" hidden="false" customHeight="false" outlineLevel="0" collapsed="false">
      <c r="B287" s="37" t="n">
        <v>39619</v>
      </c>
      <c r="C287" s="38" t="n">
        <v>1.92</v>
      </c>
      <c r="D287" s="10" t="n">
        <v>4.2</v>
      </c>
      <c r="E287" s="13" t="n">
        <f aca="false">D287-C287</f>
        <v>2.28</v>
      </c>
    </row>
    <row r="288" customFormat="false" ht="15" hidden="false" customHeight="false" outlineLevel="0" collapsed="false">
      <c r="B288" s="37" t="n">
        <v>39626</v>
      </c>
      <c r="C288" s="38" t="n">
        <v>1.75</v>
      </c>
      <c r="D288" s="10" t="n">
        <v>4.09</v>
      </c>
      <c r="E288" s="13" t="n">
        <f aca="false">D288-C288</f>
        <v>2.34</v>
      </c>
    </row>
    <row r="289" customFormat="false" ht="15" hidden="false" customHeight="false" outlineLevel="0" collapsed="false">
      <c r="B289" s="37" t="n">
        <v>39633</v>
      </c>
      <c r="C289" s="38" t="n">
        <v>1.83</v>
      </c>
      <c r="D289" s="10" t="n">
        <v>4</v>
      </c>
      <c r="E289" s="13" t="n">
        <f aca="false">D289-C289</f>
        <v>2.17</v>
      </c>
    </row>
    <row r="290" customFormat="false" ht="15" hidden="false" customHeight="false" outlineLevel="0" collapsed="false">
      <c r="B290" s="37" t="n">
        <v>39640</v>
      </c>
      <c r="C290" s="38" t="n">
        <v>1.74</v>
      </c>
      <c r="D290" s="10" t="n">
        <v>3.9</v>
      </c>
      <c r="E290" s="13" t="n">
        <f aca="false">D290-C290</f>
        <v>2.16</v>
      </c>
    </row>
    <row r="291" customFormat="false" ht="15" hidden="false" customHeight="false" outlineLevel="0" collapsed="false">
      <c r="B291" s="37" t="n">
        <v>39647</v>
      </c>
      <c r="C291" s="38" t="n">
        <v>1.41</v>
      </c>
      <c r="D291" s="10" t="n">
        <v>3.98</v>
      </c>
      <c r="E291" s="13" t="n">
        <f aca="false">D291-C291</f>
        <v>2.57</v>
      </c>
    </row>
    <row r="292" customFormat="false" ht="15" hidden="false" customHeight="false" outlineLevel="0" collapsed="false">
      <c r="B292" s="37" t="n">
        <v>39654</v>
      </c>
      <c r="C292" s="38" t="n">
        <v>1.57</v>
      </c>
      <c r="D292" s="10" t="n">
        <v>4.11</v>
      </c>
      <c r="E292" s="13" t="n">
        <f aca="false">D292-C292</f>
        <v>2.54</v>
      </c>
    </row>
    <row r="293" customFormat="false" ht="15" hidden="false" customHeight="false" outlineLevel="0" collapsed="false">
      <c r="B293" s="37" t="n">
        <v>39661</v>
      </c>
      <c r="C293" s="38" t="n">
        <v>1.67</v>
      </c>
      <c r="D293" s="10" t="n">
        <v>4.04</v>
      </c>
      <c r="E293" s="13" t="n">
        <f aca="false">D293-C293</f>
        <v>2.37</v>
      </c>
    </row>
    <row r="294" customFormat="false" ht="15" hidden="false" customHeight="false" outlineLevel="0" collapsed="false">
      <c r="B294" s="37" t="n">
        <v>39668</v>
      </c>
      <c r="C294" s="38" t="n">
        <v>1.67</v>
      </c>
      <c r="D294" s="10" t="n">
        <v>3.99</v>
      </c>
      <c r="E294" s="13" t="n">
        <f aca="false">D294-C294</f>
        <v>2.32</v>
      </c>
    </row>
    <row r="295" customFormat="false" ht="15" hidden="false" customHeight="false" outlineLevel="0" collapsed="false">
      <c r="B295" s="37" t="n">
        <v>39675</v>
      </c>
      <c r="C295" s="38" t="n">
        <v>1.83</v>
      </c>
      <c r="D295" s="10" t="n">
        <v>3.91</v>
      </c>
      <c r="E295" s="13" t="n">
        <f aca="false">D295-C295</f>
        <v>2.08</v>
      </c>
    </row>
    <row r="296" customFormat="false" ht="15" hidden="false" customHeight="false" outlineLevel="0" collapsed="false">
      <c r="B296" s="37" t="n">
        <v>39682</v>
      </c>
      <c r="C296" s="38" t="n">
        <v>1.72</v>
      </c>
      <c r="D296" s="10" t="n">
        <v>3.83</v>
      </c>
      <c r="E296" s="13" t="n">
        <f aca="false">D296-C296</f>
        <v>2.11</v>
      </c>
    </row>
    <row r="297" customFormat="false" ht="15" hidden="false" customHeight="false" outlineLevel="0" collapsed="false">
      <c r="B297" s="37" t="n">
        <v>39689</v>
      </c>
      <c r="C297" s="38" t="n">
        <v>1.69</v>
      </c>
      <c r="D297" s="10" t="n">
        <v>3.79</v>
      </c>
      <c r="E297" s="13" t="n">
        <f aca="false">D297-C297</f>
        <v>2.1</v>
      </c>
    </row>
    <row r="298" customFormat="false" ht="15" hidden="false" customHeight="false" outlineLevel="0" collapsed="false">
      <c r="B298" s="37" t="n">
        <v>39696</v>
      </c>
      <c r="C298" s="38" t="n">
        <v>1.67</v>
      </c>
      <c r="D298" s="10" t="n">
        <v>3.69</v>
      </c>
      <c r="E298" s="13" t="n">
        <f aca="false">D298-C298</f>
        <v>2.02</v>
      </c>
    </row>
    <row r="299" customFormat="false" ht="15" hidden="false" customHeight="false" outlineLevel="0" collapsed="false">
      <c r="B299" s="37" t="n">
        <v>39703</v>
      </c>
      <c r="C299" s="38" t="n">
        <v>1.6</v>
      </c>
      <c r="D299" s="10" t="n">
        <v>3.66</v>
      </c>
      <c r="E299" s="13" t="n">
        <f aca="false">D299-C299</f>
        <v>2.06</v>
      </c>
    </row>
    <row r="300" customFormat="false" ht="15" hidden="false" customHeight="false" outlineLevel="0" collapsed="false">
      <c r="B300" s="37" t="n">
        <v>39710</v>
      </c>
      <c r="C300" s="38" t="n">
        <v>0.62</v>
      </c>
      <c r="D300" s="10" t="n">
        <v>3.54</v>
      </c>
      <c r="E300" s="13" t="n">
        <f aca="false">D300-C300</f>
        <v>2.92</v>
      </c>
    </row>
    <row r="301" customFormat="false" ht="15" hidden="false" customHeight="false" outlineLevel="0" collapsed="false">
      <c r="B301" s="37" t="n">
        <v>39717</v>
      </c>
      <c r="C301" s="38" t="n">
        <v>0.84</v>
      </c>
      <c r="D301" s="10" t="n">
        <v>3.84</v>
      </c>
      <c r="E301" s="13" t="n">
        <f aca="false">D301-C301</f>
        <v>3</v>
      </c>
    </row>
    <row r="302" customFormat="false" ht="15" hidden="false" customHeight="false" outlineLevel="0" collapsed="false">
      <c r="B302" s="37" t="n">
        <v>39724</v>
      </c>
      <c r="C302" s="38" t="n">
        <v>0.76</v>
      </c>
      <c r="D302" s="10" t="n">
        <v>3.7</v>
      </c>
      <c r="E302" s="13" t="n">
        <f aca="false">D302-C302</f>
        <v>2.94</v>
      </c>
    </row>
    <row r="303" customFormat="false" ht="15" hidden="false" customHeight="false" outlineLevel="0" collapsed="false">
      <c r="B303" s="37" t="n">
        <v>39731</v>
      </c>
      <c r="C303" s="38" t="n">
        <v>0.57</v>
      </c>
      <c r="D303" s="10" t="n">
        <v>3.69</v>
      </c>
      <c r="E303" s="13" t="n">
        <f aca="false">D303-C303</f>
        <v>3.12</v>
      </c>
    </row>
    <row r="304" customFormat="false" ht="15" hidden="false" customHeight="false" outlineLevel="0" collapsed="false">
      <c r="B304" s="37" t="n">
        <v>39738</v>
      </c>
      <c r="C304" s="38" t="n">
        <v>0.45</v>
      </c>
      <c r="D304" s="10" t="n">
        <v>4.02</v>
      </c>
      <c r="E304" s="13" t="n">
        <f aca="false">D304-C304</f>
        <v>3.57</v>
      </c>
    </row>
    <row r="305" customFormat="false" ht="15" hidden="false" customHeight="false" outlineLevel="0" collapsed="false">
      <c r="B305" s="37" t="n">
        <v>39745</v>
      </c>
      <c r="C305" s="38" t="n">
        <v>1.04</v>
      </c>
      <c r="D305" s="10" t="n">
        <v>3.74</v>
      </c>
      <c r="E305" s="13" t="n">
        <f aca="false">D305-C305</f>
        <v>2.7</v>
      </c>
    </row>
    <row r="306" customFormat="false" ht="15" hidden="false" customHeight="false" outlineLevel="0" collapsed="false">
      <c r="B306" s="37" t="n">
        <v>39752</v>
      </c>
      <c r="C306" s="38" t="n">
        <v>0.61</v>
      </c>
      <c r="D306" s="10" t="n">
        <v>3.92</v>
      </c>
      <c r="E306" s="13" t="n">
        <f aca="false">D306-C306</f>
        <v>3.31</v>
      </c>
    </row>
    <row r="307" customFormat="false" ht="15" hidden="false" customHeight="false" outlineLevel="0" collapsed="false">
      <c r="B307" s="37" t="n">
        <v>39759</v>
      </c>
      <c r="C307" s="38" t="n">
        <v>0.39</v>
      </c>
      <c r="D307" s="10" t="n">
        <v>3.82</v>
      </c>
      <c r="E307" s="13" t="n">
        <f aca="false">D307-C307</f>
        <v>3.43</v>
      </c>
    </row>
    <row r="308" customFormat="false" ht="15" hidden="false" customHeight="false" outlineLevel="0" collapsed="false">
      <c r="B308" s="37" t="n">
        <v>39766</v>
      </c>
      <c r="C308" s="38" t="n">
        <v>0.21</v>
      </c>
      <c r="D308" s="10" t="n">
        <v>3.78</v>
      </c>
      <c r="E308" s="13" t="n">
        <f aca="false">D308-C308</f>
        <v>3.57</v>
      </c>
    </row>
    <row r="309" customFormat="false" ht="15" hidden="false" customHeight="false" outlineLevel="0" collapsed="false">
      <c r="B309" s="37" t="n">
        <v>39773</v>
      </c>
      <c r="C309" s="38" t="n">
        <v>0.07</v>
      </c>
      <c r="D309" s="10" t="n">
        <v>3.38</v>
      </c>
      <c r="E309" s="13" t="n">
        <f aca="false">D309-C309</f>
        <v>3.31</v>
      </c>
    </row>
    <row r="310" customFormat="false" ht="15" hidden="false" customHeight="false" outlineLevel="0" collapsed="false">
      <c r="B310" s="37" t="n">
        <v>39780</v>
      </c>
      <c r="C310" s="38" t="n">
        <v>0.07</v>
      </c>
      <c r="D310" s="10" t="n">
        <v>3.1</v>
      </c>
      <c r="E310" s="13" t="n">
        <f aca="false">D310-C310</f>
        <v>3.03</v>
      </c>
    </row>
    <row r="311" customFormat="false" ht="15" hidden="false" customHeight="false" outlineLevel="0" collapsed="false">
      <c r="B311" s="37" t="n">
        <v>39787</v>
      </c>
      <c r="C311" s="38" t="n">
        <v>0.04</v>
      </c>
      <c r="D311" s="10" t="n">
        <v>2.66</v>
      </c>
      <c r="E311" s="13" t="n">
        <f aca="false">D311-C311</f>
        <v>2.62</v>
      </c>
    </row>
    <row r="312" customFormat="false" ht="15" hidden="false" customHeight="false" outlineLevel="0" collapsed="false">
      <c r="B312" s="37" t="n">
        <v>39794</v>
      </c>
      <c r="C312" s="38" t="n">
        <v>0.02</v>
      </c>
      <c r="D312" s="10" t="n">
        <v>2.67</v>
      </c>
      <c r="E312" s="13" t="n">
        <f aca="false">D312-C312</f>
        <v>2.65</v>
      </c>
    </row>
    <row r="313" customFormat="false" ht="15" hidden="false" customHeight="false" outlineLevel="0" collapsed="false">
      <c r="B313" s="37" t="n">
        <v>39801</v>
      </c>
      <c r="C313" s="38" t="n">
        <v>0.03</v>
      </c>
      <c r="D313" s="10" t="n">
        <v>2.26</v>
      </c>
      <c r="E313" s="13" t="n">
        <f aca="false">D313-C313</f>
        <v>2.23</v>
      </c>
    </row>
    <row r="314" customFormat="false" ht="15" hidden="false" customHeight="false" outlineLevel="0" collapsed="false">
      <c r="B314" s="37" t="n">
        <v>39808</v>
      </c>
      <c r="C314" s="38" t="n">
        <v>0.02</v>
      </c>
      <c r="D314" s="10" t="n">
        <v>2.18</v>
      </c>
      <c r="E314" s="13" t="n">
        <f aca="false">D314-C314</f>
        <v>2.16</v>
      </c>
    </row>
    <row r="315" customFormat="false" ht="15" hidden="false" customHeight="false" outlineLevel="0" collapsed="false">
      <c r="B315" s="37" t="n">
        <v>39815</v>
      </c>
      <c r="C315" s="38" t="n">
        <v>0.09</v>
      </c>
      <c r="D315" s="10" t="n">
        <v>2.24</v>
      </c>
      <c r="E315" s="13" t="n">
        <f aca="false">D315-C315</f>
        <v>2.15</v>
      </c>
      <c r="F315" s="0" t="s">
        <v>30</v>
      </c>
    </row>
    <row r="316" customFormat="false" ht="15" hidden="false" customHeight="false" outlineLevel="0" collapsed="false">
      <c r="B316" s="37" t="n">
        <v>39822</v>
      </c>
      <c r="C316" s="38" t="n">
        <v>0.11</v>
      </c>
      <c r="D316" s="10" t="n">
        <v>2.48</v>
      </c>
      <c r="E316" s="13" t="n">
        <f aca="false">D316-C316</f>
        <v>2.37</v>
      </c>
    </row>
    <row r="317" customFormat="false" ht="15" hidden="false" customHeight="false" outlineLevel="0" collapsed="false">
      <c r="B317" s="37" t="n">
        <v>39829</v>
      </c>
      <c r="C317" s="38" t="n">
        <v>0.12</v>
      </c>
      <c r="D317" s="10" t="n">
        <v>2.3</v>
      </c>
      <c r="E317" s="13" t="n">
        <f aca="false">D317-C317</f>
        <v>2.18</v>
      </c>
    </row>
    <row r="318" customFormat="false" ht="15" hidden="false" customHeight="false" outlineLevel="0" collapsed="false">
      <c r="B318" s="37" t="n">
        <v>39836</v>
      </c>
      <c r="C318" s="38" t="n">
        <v>0.11</v>
      </c>
      <c r="D318" s="10" t="n">
        <v>2.56</v>
      </c>
      <c r="E318" s="13" t="n">
        <f aca="false">D318-C318</f>
        <v>2.45</v>
      </c>
    </row>
    <row r="319" customFormat="false" ht="15" hidden="false" customHeight="false" outlineLevel="0" collapsed="false">
      <c r="B319" s="37" t="n">
        <v>39843</v>
      </c>
      <c r="C319" s="38" t="n">
        <v>0.19</v>
      </c>
      <c r="D319" s="10" t="n">
        <v>2.75</v>
      </c>
      <c r="E319" s="13" t="n">
        <f aca="false">D319-C319</f>
        <v>2.56</v>
      </c>
    </row>
    <row r="320" customFormat="false" ht="15" hidden="false" customHeight="false" outlineLevel="0" collapsed="false">
      <c r="B320" s="37" t="n">
        <v>39850</v>
      </c>
      <c r="C320" s="38" t="n">
        <v>0.29</v>
      </c>
      <c r="D320" s="10" t="n">
        <v>2.92</v>
      </c>
      <c r="E320" s="13" t="n">
        <f aca="false">D320-C320</f>
        <v>2.63</v>
      </c>
    </row>
    <row r="321" customFormat="false" ht="15" hidden="false" customHeight="false" outlineLevel="0" collapsed="false">
      <c r="B321" s="37" t="n">
        <v>39857</v>
      </c>
      <c r="C321" s="38" t="n">
        <v>0.3</v>
      </c>
      <c r="D321" s="10" t="n">
        <v>2.88</v>
      </c>
      <c r="E321" s="13" t="n">
        <f aca="false">D321-C321</f>
        <v>2.58</v>
      </c>
    </row>
    <row r="322" customFormat="false" ht="15" hidden="false" customHeight="false" outlineLevel="0" collapsed="false">
      <c r="B322" s="37" t="n">
        <v>39864</v>
      </c>
      <c r="C322" s="38" t="n">
        <v>0.3</v>
      </c>
      <c r="D322" s="10" t="n">
        <v>2.75</v>
      </c>
      <c r="E322" s="13" t="n">
        <f aca="false">D322-C322</f>
        <v>2.45</v>
      </c>
    </row>
    <row r="323" customFormat="false" ht="15" hidden="false" customHeight="false" outlineLevel="0" collapsed="false">
      <c r="B323" s="37" t="n">
        <v>39871</v>
      </c>
      <c r="C323" s="38" t="n">
        <v>0.29</v>
      </c>
      <c r="D323" s="10" t="n">
        <v>2.91</v>
      </c>
      <c r="E323" s="13" t="n">
        <f aca="false">D323-C323</f>
        <v>2.62</v>
      </c>
    </row>
    <row r="324" customFormat="false" ht="15" hidden="false" customHeight="false" outlineLevel="0" collapsed="false">
      <c r="B324" s="37" t="n">
        <v>39878</v>
      </c>
      <c r="C324" s="38" t="n">
        <v>0.24</v>
      </c>
      <c r="D324" s="10" t="n">
        <v>2.9</v>
      </c>
      <c r="E324" s="13" t="n">
        <f aca="false">D324-C324</f>
        <v>2.66</v>
      </c>
    </row>
    <row r="325" customFormat="false" ht="15" hidden="false" customHeight="false" outlineLevel="0" collapsed="false">
      <c r="B325" s="37" t="n">
        <v>39885</v>
      </c>
      <c r="C325" s="38" t="n">
        <v>0.22</v>
      </c>
      <c r="D325" s="10" t="n">
        <v>2.92</v>
      </c>
      <c r="E325" s="13" t="n">
        <f aca="false">D325-C325</f>
        <v>2.7</v>
      </c>
    </row>
    <row r="326" customFormat="false" ht="15" hidden="false" customHeight="false" outlineLevel="0" collapsed="false">
      <c r="B326" s="37" t="n">
        <v>39892</v>
      </c>
      <c r="C326" s="38" t="n">
        <v>0.22</v>
      </c>
      <c r="D326" s="10" t="n">
        <v>2.75</v>
      </c>
      <c r="E326" s="13" t="n">
        <f aca="false">D326-C326</f>
        <v>2.53</v>
      </c>
    </row>
    <row r="327" customFormat="false" ht="15" hidden="false" customHeight="false" outlineLevel="0" collapsed="false">
      <c r="B327" s="37" t="n">
        <v>39899</v>
      </c>
      <c r="C327" s="38" t="n">
        <v>0.18</v>
      </c>
      <c r="D327" s="10" t="n">
        <v>2.74</v>
      </c>
      <c r="E327" s="13" t="n">
        <f aca="false">D327-C327</f>
        <v>2.56</v>
      </c>
    </row>
    <row r="328" customFormat="false" ht="15" hidden="false" customHeight="false" outlineLevel="0" collapsed="false">
      <c r="B328" s="37" t="n">
        <v>39906</v>
      </c>
      <c r="C328" s="38" t="n">
        <v>0.21</v>
      </c>
      <c r="D328" s="10" t="n">
        <v>2.76</v>
      </c>
      <c r="E328" s="13" t="n">
        <f aca="false">D328-C328</f>
        <v>2.55</v>
      </c>
    </row>
    <row r="329" customFormat="false" ht="15" hidden="false" customHeight="false" outlineLevel="0" collapsed="false">
      <c r="B329" s="37" t="n">
        <v>39913</v>
      </c>
      <c r="C329" s="38" t="n">
        <v>0.19</v>
      </c>
      <c r="D329" s="10" t="n">
        <v>2.93</v>
      </c>
      <c r="E329" s="13" t="n">
        <f aca="false">D329-C329</f>
        <v>2.74</v>
      </c>
    </row>
    <row r="330" customFormat="false" ht="15" hidden="false" customHeight="false" outlineLevel="0" collapsed="false">
      <c r="B330" s="37" t="n">
        <v>39920</v>
      </c>
      <c r="C330" s="38" t="n">
        <v>0.15</v>
      </c>
      <c r="D330" s="10" t="n">
        <v>2.87</v>
      </c>
      <c r="E330" s="13" t="n">
        <f aca="false">D330-C330</f>
        <v>2.72</v>
      </c>
    </row>
    <row r="331" customFormat="false" ht="15" hidden="false" customHeight="false" outlineLevel="0" collapsed="false">
      <c r="B331" s="37" t="n">
        <v>39927</v>
      </c>
      <c r="C331" s="38" t="n">
        <v>0.13</v>
      </c>
      <c r="D331" s="10" t="n">
        <v>2.96</v>
      </c>
      <c r="E331" s="13" t="n">
        <f aca="false">D331-C331</f>
        <v>2.83</v>
      </c>
    </row>
    <row r="332" customFormat="false" ht="15" hidden="false" customHeight="false" outlineLevel="0" collapsed="false">
      <c r="B332" s="37" t="n">
        <v>39934</v>
      </c>
      <c r="C332" s="38" t="n">
        <v>0.13</v>
      </c>
      <c r="D332" s="10" t="n">
        <v>3.1</v>
      </c>
      <c r="E332" s="13" t="n">
        <f aca="false">D332-C332</f>
        <v>2.97</v>
      </c>
    </row>
    <row r="333" customFormat="false" ht="15" hidden="false" customHeight="false" outlineLevel="0" collapsed="false">
      <c r="B333" s="37" t="n">
        <v>39941</v>
      </c>
      <c r="C333" s="38" t="n">
        <v>0.19</v>
      </c>
      <c r="D333" s="10" t="n">
        <v>3.23</v>
      </c>
      <c r="E333" s="13" t="n">
        <f aca="false">D333-C333</f>
        <v>3.04</v>
      </c>
    </row>
    <row r="334" customFormat="false" ht="15" hidden="false" customHeight="false" outlineLevel="0" collapsed="false">
      <c r="B334" s="37" t="n">
        <v>39948</v>
      </c>
      <c r="C334" s="38" t="n">
        <v>0.18</v>
      </c>
      <c r="D334" s="10" t="n">
        <v>3.14</v>
      </c>
      <c r="E334" s="13" t="n">
        <f aca="false">D334-C334</f>
        <v>2.96</v>
      </c>
    </row>
    <row r="335" customFormat="false" ht="15" hidden="false" customHeight="false" outlineLevel="0" collapsed="false">
      <c r="B335" s="37" t="n">
        <v>39955</v>
      </c>
      <c r="C335" s="38" t="n">
        <v>0.18</v>
      </c>
      <c r="D335" s="10" t="n">
        <v>3.29</v>
      </c>
      <c r="E335" s="13" t="n">
        <f aca="false">D335-C335</f>
        <v>3.11</v>
      </c>
    </row>
    <row r="336" customFormat="false" ht="15" hidden="false" customHeight="false" outlineLevel="0" collapsed="false">
      <c r="B336" s="37" t="n">
        <v>39962</v>
      </c>
      <c r="C336" s="38" t="n">
        <v>0.16</v>
      </c>
      <c r="D336" s="10" t="n">
        <v>3.59</v>
      </c>
      <c r="E336" s="13" t="n">
        <f aca="false">D336-C336</f>
        <v>3.43</v>
      </c>
    </row>
    <row r="337" customFormat="false" ht="15" hidden="false" customHeight="false" outlineLevel="0" collapsed="false">
      <c r="B337" s="37" t="n">
        <v>39969</v>
      </c>
      <c r="C337" s="38" t="n">
        <v>0.15</v>
      </c>
      <c r="D337" s="10" t="n">
        <v>3.7</v>
      </c>
      <c r="E337" s="13" t="n">
        <f aca="false">D337-C337</f>
        <v>3.55</v>
      </c>
    </row>
    <row r="338" customFormat="false" ht="15" hidden="false" customHeight="false" outlineLevel="0" collapsed="false">
      <c r="B338" s="37" t="n">
        <v>39976</v>
      </c>
      <c r="C338" s="38" t="n">
        <v>0.19</v>
      </c>
      <c r="D338" s="10" t="n">
        <v>3.89</v>
      </c>
      <c r="E338" s="13" t="n">
        <f aca="false">D338-C338</f>
        <v>3.7</v>
      </c>
    </row>
    <row r="339" customFormat="false" ht="15" hidden="false" customHeight="false" outlineLevel="0" collapsed="false">
      <c r="B339" s="37" t="n">
        <v>39983</v>
      </c>
      <c r="C339" s="38" t="n">
        <v>0.17</v>
      </c>
      <c r="D339" s="10" t="n">
        <v>3.75</v>
      </c>
      <c r="E339" s="13" t="n">
        <f aca="false">D339-C339</f>
        <v>3.58</v>
      </c>
    </row>
    <row r="340" customFormat="false" ht="15" hidden="false" customHeight="false" outlineLevel="0" collapsed="false">
      <c r="B340" s="37" t="n">
        <v>39990</v>
      </c>
      <c r="C340" s="38" t="n">
        <v>0.19</v>
      </c>
      <c r="D340" s="10" t="n">
        <v>3.63</v>
      </c>
      <c r="E340" s="13" t="n">
        <f aca="false">D340-C340</f>
        <v>3.44</v>
      </c>
    </row>
    <row r="341" customFormat="false" ht="15" hidden="false" customHeight="false" outlineLevel="0" collapsed="false">
      <c r="B341" s="37" t="n">
        <v>39997</v>
      </c>
      <c r="C341" s="38" t="n">
        <v>0.18</v>
      </c>
      <c r="D341" s="10" t="n">
        <v>3.53</v>
      </c>
      <c r="E341" s="13" t="n">
        <f aca="false">D341-C341</f>
        <v>3.35</v>
      </c>
    </row>
    <row r="342" customFormat="false" ht="15" hidden="false" customHeight="false" outlineLevel="0" collapsed="false">
      <c r="B342" s="37" t="n">
        <v>40004</v>
      </c>
      <c r="C342" s="38" t="n">
        <v>0.19</v>
      </c>
      <c r="D342" s="10" t="n">
        <v>3.42</v>
      </c>
      <c r="E342" s="13" t="n">
        <f aca="false">D342-C342</f>
        <v>3.23</v>
      </c>
    </row>
    <row r="343" customFormat="false" ht="15" hidden="false" customHeight="false" outlineLevel="0" collapsed="false">
      <c r="B343" s="37" t="n">
        <v>40011</v>
      </c>
      <c r="C343" s="38" t="n">
        <v>0.18</v>
      </c>
      <c r="D343" s="10" t="n">
        <v>3.55</v>
      </c>
      <c r="E343" s="13" t="n">
        <f aca="false">D343-C343</f>
        <v>3.37</v>
      </c>
    </row>
    <row r="344" customFormat="false" ht="15" hidden="false" customHeight="false" outlineLevel="0" collapsed="false">
      <c r="B344" s="37" t="n">
        <v>40018</v>
      </c>
      <c r="C344" s="38" t="n">
        <v>0.19</v>
      </c>
      <c r="D344" s="10" t="n">
        <v>3.62</v>
      </c>
      <c r="E344" s="13" t="n">
        <f aca="false">D344-C344</f>
        <v>3.43</v>
      </c>
    </row>
    <row r="345" customFormat="false" ht="15" hidden="false" customHeight="false" outlineLevel="0" collapsed="false">
      <c r="B345" s="37" t="n">
        <v>40025</v>
      </c>
      <c r="C345" s="38" t="n">
        <v>0.19</v>
      </c>
      <c r="D345" s="10" t="n">
        <v>3.67</v>
      </c>
      <c r="E345" s="13" t="n">
        <f aca="false">D345-C345</f>
        <v>3.48</v>
      </c>
    </row>
    <row r="346" customFormat="false" ht="15" hidden="false" customHeight="false" outlineLevel="0" collapsed="false">
      <c r="B346" s="37" t="n">
        <v>40032</v>
      </c>
      <c r="C346" s="38" t="n">
        <v>0.18</v>
      </c>
      <c r="D346" s="10" t="n">
        <v>3.77</v>
      </c>
      <c r="E346" s="13" t="n">
        <f aca="false">D346-C346</f>
        <v>3.59</v>
      </c>
    </row>
    <row r="347" customFormat="false" ht="15" hidden="false" customHeight="false" outlineLevel="0" collapsed="false">
      <c r="B347" s="37" t="n">
        <v>40039</v>
      </c>
      <c r="C347" s="38" t="n">
        <v>0.18</v>
      </c>
      <c r="D347" s="10" t="n">
        <v>3.67</v>
      </c>
      <c r="E347" s="13" t="n">
        <f aca="false">D347-C347</f>
        <v>3.49</v>
      </c>
    </row>
    <row r="348" customFormat="false" ht="15" hidden="false" customHeight="false" outlineLevel="0" collapsed="false">
      <c r="B348" s="37" t="n">
        <v>40046</v>
      </c>
      <c r="C348" s="38" t="n">
        <v>0.17</v>
      </c>
      <c r="D348" s="10" t="n">
        <v>3.48</v>
      </c>
      <c r="E348" s="13" t="n">
        <f aca="false">D348-C348</f>
        <v>3.31</v>
      </c>
    </row>
    <row r="349" customFormat="false" ht="15" hidden="false" customHeight="false" outlineLevel="0" collapsed="false">
      <c r="B349" s="37" t="n">
        <v>40053</v>
      </c>
      <c r="C349" s="38" t="n">
        <v>0.16</v>
      </c>
      <c r="D349" s="10" t="n">
        <v>3.46</v>
      </c>
      <c r="E349" s="13" t="n">
        <f aca="false">D349-C349</f>
        <v>3.3</v>
      </c>
    </row>
    <row r="350" customFormat="false" ht="15" hidden="false" customHeight="false" outlineLevel="0" collapsed="false">
      <c r="B350" s="37" t="n">
        <v>40060</v>
      </c>
      <c r="C350" s="38" t="n">
        <v>0.14</v>
      </c>
      <c r="D350" s="10" t="n">
        <v>3.37</v>
      </c>
      <c r="E350" s="13" t="n">
        <f aca="false">D350-C350</f>
        <v>3.23</v>
      </c>
    </row>
    <row r="351" customFormat="false" ht="15" hidden="false" customHeight="false" outlineLevel="0" collapsed="false">
      <c r="B351" s="37" t="n">
        <v>40067</v>
      </c>
      <c r="C351" s="38" t="n">
        <v>0.14</v>
      </c>
      <c r="D351" s="10" t="n">
        <v>3.41</v>
      </c>
      <c r="E351" s="13" t="n">
        <f aca="false">D351-C351</f>
        <v>3.27</v>
      </c>
    </row>
    <row r="352" customFormat="false" ht="15" hidden="false" customHeight="false" outlineLevel="0" collapsed="false">
      <c r="B352" s="37" t="n">
        <v>40074</v>
      </c>
      <c r="C352" s="38" t="n">
        <v>0.11</v>
      </c>
      <c r="D352" s="10" t="n">
        <v>3.46</v>
      </c>
      <c r="E352" s="13" t="n">
        <f aca="false">D352-C352</f>
        <v>3.35</v>
      </c>
    </row>
    <row r="353" customFormat="false" ht="15" hidden="false" customHeight="false" outlineLevel="0" collapsed="false">
      <c r="B353" s="37" t="n">
        <v>40081</v>
      </c>
      <c r="C353" s="38" t="n">
        <v>0.11</v>
      </c>
      <c r="D353" s="10" t="n">
        <v>3.43</v>
      </c>
      <c r="E353" s="13" t="n">
        <f aca="false">D353-C353</f>
        <v>3.32</v>
      </c>
    </row>
    <row r="354" customFormat="false" ht="15" hidden="false" customHeight="false" outlineLevel="0" collapsed="false">
      <c r="B354" s="37" t="n">
        <v>40088</v>
      </c>
      <c r="C354" s="38" t="n">
        <v>0.12</v>
      </c>
      <c r="D354" s="10" t="n">
        <v>3.28</v>
      </c>
      <c r="E354" s="13" t="n">
        <f aca="false">D354-C354</f>
        <v>3.16</v>
      </c>
    </row>
    <row r="355" customFormat="false" ht="15" hidden="false" customHeight="false" outlineLevel="0" collapsed="false">
      <c r="B355" s="37" t="n">
        <v>40095</v>
      </c>
      <c r="C355" s="38" t="n">
        <v>0.08</v>
      </c>
      <c r="D355" s="10" t="n">
        <v>3.28</v>
      </c>
      <c r="E355" s="13" t="n">
        <f aca="false">D355-C355</f>
        <v>3.2</v>
      </c>
    </row>
    <row r="356" customFormat="false" ht="15" hidden="false" customHeight="false" outlineLevel="0" collapsed="false">
      <c r="B356" s="37" t="n">
        <v>40102</v>
      </c>
      <c r="C356" s="38" t="n">
        <v>0.07</v>
      </c>
      <c r="D356" s="10" t="n">
        <v>3.43</v>
      </c>
      <c r="E356" s="13" t="n">
        <f aca="false">D356-C356</f>
        <v>3.36</v>
      </c>
    </row>
    <row r="357" customFormat="false" ht="15" hidden="false" customHeight="false" outlineLevel="0" collapsed="false">
      <c r="B357" s="37" t="n">
        <v>40109</v>
      </c>
      <c r="C357" s="38" t="n">
        <v>0.07</v>
      </c>
      <c r="D357" s="10" t="n">
        <v>3.43</v>
      </c>
      <c r="E357" s="13" t="n">
        <f aca="false">D357-C357</f>
        <v>3.36</v>
      </c>
    </row>
    <row r="358" customFormat="false" ht="15" hidden="false" customHeight="false" outlineLevel="0" collapsed="false">
      <c r="B358" s="37" t="n">
        <v>40116</v>
      </c>
      <c r="C358" s="38" t="n">
        <v>0.07</v>
      </c>
      <c r="D358" s="10" t="n">
        <v>3.49</v>
      </c>
      <c r="E358" s="13" t="n">
        <f aca="false">D358-C358</f>
        <v>3.42</v>
      </c>
    </row>
    <row r="359" customFormat="false" ht="15" hidden="false" customHeight="false" outlineLevel="0" collapsed="false">
      <c r="B359" s="37" t="n">
        <v>40123</v>
      </c>
      <c r="C359" s="38" t="n">
        <v>0.05</v>
      </c>
      <c r="D359" s="10" t="n">
        <v>3.53</v>
      </c>
      <c r="E359" s="13" t="n">
        <f aca="false">D359-C359</f>
        <v>3.48</v>
      </c>
    </row>
    <row r="360" customFormat="false" ht="15" hidden="false" customHeight="false" outlineLevel="0" collapsed="false">
      <c r="B360" s="37" t="n">
        <v>40130</v>
      </c>
      <c r="C360" s="38" t="n">
        <v>0.07</v>
      </c>
      <c r="D360" s="10" t="n">
        <v>3.48</v>
      </c>
      <c r="E360" s="13" t="n">
        <f aca="false">D360-C360</f>
        <v>3.41</v>
      </c>
    </row>
    <row r="361" customFormat="false" ht="15" hidden="false" customHeight="false" outlineLevel="0" collapsed="false">
      <c r="B361" s="37" t="n">
        <v>40137</v>
      </c>
      <c r="C361" s="38" t="n">
        <v>0.04</v>
      </c>
      <c r="D361" s="10" t="n">
        <v>3.35</v>
      </c>
      <c r="E361" s="13" t="n">
        <f aca="false">D361-C361</f>
        <v>3.31</v>
      </c>
    </row>
    <row r="362" customFormat="false" ht="15" hidden="false" customHeight="false" outlineLevel="0" collapsed="false">
      <c r="B362" s="37" t="n">
        <v>40144</v>
      </c>
      <c r="C362" s="38" t="n">
        <v>0.05</v>
      </c>
      <c r="D362" s="10" t="n">
        <v>3.3</v>
      </c>
      <c r="E362" s="13" t="n">
        <f aca="false">D362-C362</f>
        <v>3.25</v>
      </c>
    </row>
    <row r="363" customFormat="false" ht="15" hidden="false" customHeight="false" outlineLevel="0" collapsed="false">
      <c r="B363" s="37" t="n">
        <v>40151</v>
      </c>
      <c r="C363" s="38" t="n">
        <v>0.06</v>
      </c>
      <c r="D363" s="10" t="n">
        <v>3.34</v>
      </c>
      <c r="E363" s="13" t="n">
        <f aca="false">D363-C363</f>
        <v>3.28</v>
      </c>
    </row>
    <row r="364" customFormat="false" ht="15" hidden="false" customHeight="false" outlineLevel="0" collapsed="false">
      <c r="B364" s="37" t="n">
        <v>40158</v>
      </c>
      <c r="C364" s="38" t="n">
        <v>0.03</v>
      </c>
      <c r="D364" s="10" t="n">
        <v>3.47</v>
      </c>
      <c r="E364" s="13" t="n">
        <f aca="false">D364-C364</f>
        <v>3.44</v>
      </c>
    </row>
    <row r="365" customFormat="false" ht="15" hidden="false" customHeight="false" outlineLevel="0" collapsed="false">
      <c r="B365" s="37" t="n">
        <v>40165</v>
      </c>
      <c r="C365" s="38" t="n">
        <v>0.04</v>
      </c>
      <c r="D365" s="10" t="n">
        <v>3.56</v>
      </c>
      <c r="E365" s="13" t="n">
        <f aca="false">D365-C365</f>
        <v>3.52</v>
      </c>
    </row>
    <row r="366" customFormat="false" ht="15" hidden="false" customHeight="false" outlineLevel="0" collapsed="false">
      <c r="B366" s="37" t="n">
        <v>40172</v>
      </c>
      <c r="C366" s="38" t="n">
        <v>0.07</v>
      </c>
      <c r="D366" s="10" t="n">
        <v>3.76</v>
      </c>
      <c r="E366" s="13" t="n">
        <f aca="false">D366-C366</f>
        <v>3.69</v>
      </c>
    </row>
    <row r="367" customFormat="false" ht="15" hidden="false" customHeight="false" outlineLevel="0" collapsed="false">
      <c r="B367" s="37" t="n">
        <v>40179</v>
      </c>
      <c r="C367" s="38" t="n">
        <v>0.08</v>
      </c>
      <c r="D367" s="10" t="n">
        <v>3.83</v>
      </c>
      <c r="E367" s="13" t="n">
        <f aca="false">D367-C367</f>
        <v>3.75</v>
      </c>
    </row>
    <row r="368" customFormat="false" ht="15" hidden="false" customHeight="false" outlineLevel="0" collapsed="false">
      <c r="B368" s="37" t="n">
        <v>40186</v>
      </c>
      <c r="C368" s="38" t="n">
        <v>0.06</v>
      </c>
      <c r="D368" s="10" t="n">
        <v>3.83</v>
      </c>
      <c r="E368" s="13" t="n">
        <f aca="false">D368-C368</f>
        <v>3.77</v>
      </c>
    </row>
    <row r="369" customFormat="false" ht="15" hidden="false" customHeight="false" outlineLevel="0" collapsed="false">
      <c r="B369" s="37" t="n">
        <v>40193</v>
      </c>
      <c r="C369" s="38" t="n">
        <v>0.05</v>
      </c>
      <c r="D369" s="10" t="n">
        <v>3.77</v>
      </c>
      <c r="E369" s="13" t="n">
        <f aca="false">D369-C369</f>
        <v>3.72</v>
      </c>
    </row>
    <row r="370" customFormat="false" ht="15" hidden="false" customHeight="false" outlineLevel="0" collapsed="false">
      <c r="B370" s="37" t="n">
        <v>40200</v>
      </c>
      <c r="C370" s="38" t="n">
        <v>0.06</v>
      </c>
      <c r="D370" s="10" t="n">
        <v>3.66</v>
      </c>
      <c r="E370" s="13" t="n">
        <f aca="false">D370-C370</f>
        <v>3.6</v>
      </c>
    </row>
    <row r="371" customFormat="false" ht="15" hidden="false" customHeight="false" outlineLevel="0" collapsed="false">
      <c r="B371" s="37" t="n">
        <v>40207</v>
      </c>
      <c r="C371" s="38" t="n">
        <v>0.07</v>
      </c>
      <c r="D371" s="10" t="n">
        <v>3.66</v>
      </c>
      <c r="E371" s="13" t="n">
        <f aca="false">D371-C371</f>
        <v>3.59</v>
      </c>
    </row>
    <row r="372" customFormat="false" ht="15" hidden="false" customHeight="false" outlineLevel="0" collapsed="false">
      <c r="B372" s="37" t="n">
        <v>40214</v>
      </c>
      <c r="C372" s="38" t="n">
        <v>0.1</v>
      </c>
      <c r="D372" s="10" t="n">
        <v>3.66</v>
      </c>
      <c r="E372" s="13" t="n">
        <f aca="false">D372-C372</f>
        <v>3.56</v>
      </c>
    </row>
    <row r="373" customFormat="false" ht="15" hidden="false" customHeight="false" outlineLevel="0" collapsed="false">
      <c r="B373" s="37" t="n">
        <v>40221</v>
      </c>
      <c r="C373" s="38" t="n">
        <v>0.11</v>
      </c>
      <c r="D373" s="10" t="n">
        <v>3.69</v>
      </c>
      <c r="E373" s="13" t="n">
        <f aca="false">D373-C373</f>
        <v>3.58</v>
      </c>
    </row>
    <row r="374" customFormat="false" ht="15" hidden="false" customHeight="false" outlineLevel="0" collapsed="false">
      <c r="B374" s="37" t="n">
        <v>40228</v>
      </c>
      <c r="C374" s="38" t="n">
        <v>0.1</v>
      </c>
      <c r="D374" s="10" t="n">
        <v>3.74</v>
      </c>
      <c r="E374" s="13" t="n">
        <f aca="false">D374-C374</f>
        <v>3.64</v>
      </c>
    </row>
    <row r="375" customFormat="false" ht="15" hidden="false" customHeight="false" outlineLevel="0" collapsed="false">
      <c r="B375" s="37" t="n">
        <v>40235</v>
      </c>
      <c r="C375" s="38" t="n">
        <v>0.12</v>
      </c>
      <c r="D375" s="10" t="n">
        <v>3.69</v>
      </c>
      <c r="E375" s="13" t="n">
        <f aca="false">D375-C375</f>
        <v>3.57</v>
      </c>
    </row>
    <row r="376" customFormat="false" ht="15" hidden="false" customHeight="false" outlineLevel="0" collapsed="false">
      <c r="B376" s="37" t="n">
        <v>40242</v>
      </c>
      <c r="C376" s="38" t="n">
        <v>0.14</v>
      </c>
      <c r="D376" s="10" t="n">
        <v>3.63</v>
      </c>
      <c r="E376" s="13" t="n">
        <f aca="false">D376-C376</f>
        <v>3.49</v>
      </c>
    </row>
    <row r="377" customFormat="false" ht="15" hidden="false" customHeight="false" outlineLevel="0" collapsed="false">
      <c r="B377" s="37" t="n">
        <v>40249</v>
      </c>
      <c r="C377" s="38" t="n">
        <v>0.16</v>
      </c>
      <c r="D377" s="10" t="n">
        <v>3.72</v>
      </c>
      <c r="E377" s="13" t="n">
        <f aca="false">D377-C377</f>
        <v>3.56</v>
      </c>
    </row>
    <row r="378" customFormat="false" ht="15" hidden="false" customHeight="false" outlineLevel="0" collapsed="false">
      <c r="B378" s="37" t="n">
        <v>40256</v>
      </c>
      <c r="C378" s="38" t="n">
        <v>0.16</v>
      </c>
      <c r="D378" s="10" t="n">
        <v>3.68</v>
      </c>
      <c r="E378" s="13" t="n">
        <f aca="false">D378-C378</f>
        <v>3.52</v>
      </c>
    </row>
    <row r="379" customFormat="false" ht="15" hidden="false" customHeight="false" outlineLevel="0" collapsed="false">
      <c r="B379" s="37" t="n">
        <v>40263</v>
      </c>
      <c r="C379" s="38" t="n">
        <v>0.14</v>
      </c>
      <c r="D379" s="10" t="n">
        <v>3.79</v>
      </c>
      <c r="E379" s="13" t="n">
        <f aca="false">D379-C379</f>
        <v>3.65</v>
      </c>
    </row>
    <row r="380" customFormat="false" ht="15" hidden="false" customHeight="false" outlineLevel="0" collapsed="false">
      <c r="B380" s="37" t="n">
        <v>40270</v>
      </c>
      <c r="C380" s="38" t="n">
        <v>0.16</v>
      </c>
      <c r="D380" s="10" t="n">
        <v>3.89</v>
      </c>
      <c r="E380" s="13" t="n">
        <f aca="false">D380-C380</f>
        <v>3.73</v>
      </c>
    </row>
    <row r="381" customFormat="false" ht="15" hidden="false" customHeight="false" outlineLevel="0" collapsed="false">
      <c r="B381" s="37" t="n">
        <v>40277</v>
      </c>
      <c r="C381" s="38" t="n">
        <v>0.17</v>
      </c>
      <c r="D381" s="10" t="n">
        <v>3.94</v>
      </c>
      <c r="E381" s="13" t="n">
        <f aca="false">D381-C381</f>
        <v>3.77</v>
      </c>
    </row>
    <row r="382" customFormat="false" ht="15" hidden="false" customHeight="false" outlineLevel="0" collapsed="false">
      <c r="B382" s="37" t="n">
        <v>40284</v>
      </c>
      <c r="C382" s="38" t="n">
        <v>0.16</v>
      </c>
      <c r="D382" s="10" t="n">
        <v>3.85</v>
      </c>
      <c r="E382" s="13" t="n">
        <f aca="false">D382-C382</f>
        <v>3.69</v>
      </c>
    </row>
    <row r="383" customFormat="false" ht="15" hidden="false" customHeight="false" outlineLevel="0" collapsed="false">
      <c r="B383" s="37" t="n">
        <v>40291</v>
      </c>
      <c r="C383" s="38" t="n">
        <v>0.16</v>
      </c>
      <c r="D383" s="10" t="n">
        <v>3.81</v>
      </c>
      <c r="E383" s="13" t="n">
        <f aca="false">D383-C383</f>
        <v>3.65</v>
      </c>
    </row>
    <row r="384" customFormat="false" ht="15" hidden="false" customHeight="false" outlineLevel="0" collapsed="false">
      <c r="B384" s="37" t="n">
        <v>40298</v>
      </c>
      <c r="C384" s="38" t="n">
        <v>0.16</v>
      </c>
      <c r="D384" s="10" t="n">
        <v>3.76</v>
      </c>
      <c r="E384" s="13" t="n">
        <f aca="false">D384-C384</f>
        <v>3.6</v>
      </c>
    </row>
    <row r="385" customFormat="false" ht="15" hidden="false" customHeight="false" outlineLevel="0" collapsed="false">
      <c r="B385" s="37" t="n">
        <v>40305</v>
      </c>
      <c r="C385" s="38" t="n">
        <v>0.14</v>
      </c>
      <c r="D385" s="10" t="n">
        <v>3.56</v>
      </c>
      <c r="E385" s="13" t="n">
        <f aca="false">D385-C385</f>
        <v>3.42</v>
      </c>
    </row>
    <row r="386" customFormat="false" ht="15" hidden="false" customHeight="false" outlineLevel="0" collapsed="false">
      <c r="B386" s="37" t="n">
        <v>40312</v>
      </c>
      <c r="C386" s="38" t="n">
        <v>0.16</v>
      </c>
      <c r="D386" s="10" t="n">
        <v>3.54</v>
      </c>
      <c r="E386" s="13" t="n">
        <f aca="false">D386-C386</f>
        <v>3.38</v>
      </c>
    </row>
    <row r="387" customFormat="false" ht="15" hidden="false" customHeight="false" outlineLevel="0" collapsed="false">
      <c r="B387" s="37" t="n">
        <v>40319</v>
      </c>
      <c r="C387" s="38" t="n">
        <v>0.17</v>
      </c>
      <c r="D387" s="10" t="n">
        <v>3.33</v>
      </c>
      <c r="E387" s="13" t="n">
        <f aca="false">D387-C387</f>
        <v>3.16</v>
      </c>
    </row>
    <row r="388" customFormat="false" ht="15" hidden="false" customHeight="false" outlineLevel="0" collapsed="false">
      <c r="B388" s="37" t="n">
        <v>40326</v>
      </c>
      <c r="C388" s="38" t="n">
        <v>0.17</v>
      </c>
      <c r="D388" s="10" t="n">
        <v>3.25</v>
      </c>
      <c r="E388" s="13" t="n">
        <f aca="false">D388-C388</f>
        <v>3.08</v>
      </c>
    </row>
    <row r="389" customFormat="false" ht="15" hidden="false" customHeight="false" outlineLevel="0" collapsed="false">
      <c r="B389" s="37" t="n">
        <v>40333</v>
      </c>
      <c r="C389" s="38" t="n">
        <v>0.15</v>
      </c>
      <c r="D389" s="10" t="n">
        <v>3.31</v>
      </c>
      <c r="E389" s="13" t="n">
        <f aca="false">D389-C389</f>
        <v>3.16</v>
      </c>
    </row>
    <row r="390" customFormat="false" ht="15" hidden="false" customHeight="false" outlineLevel="0" collapsed="false">
      <c r="B390" s="37" t="n">
        <v>40340</v>
      </c>
      <c r="C390" s="38" t="n">
        <v>0.1</v>
      </c>
      <c r="D390" s="10" t="n">
        <v>3.22</v>
      </c>
      <c r="E390" s="13" t="n">
        <f aca="false">D390-C390</f>
        <v>3.12</v>
      </c>
    </row>
    <row r="391" customFormat="false" ht="15" hidden="false" customHeight="false" outlineLevel="0" collapsed="false">
      <c r="B391" s="37" t="n">
        <v>40347</v>
      </c>
      <c r="C391" s="38" t="n">
        <v>0.09</v>
      </c>
      <c r="D391" s="10" t="n">
        <v>3.26</v>
      </c>
      <c r="E391" s="13" t="n">
        <f aca="false">D391-C391</f>
        <v>3.17</v>
      </c>
    </row>
    <row r="392" customFormat="false" ht="15" hidden="false" customHeight="false" outlineLevel="0" collapsed="false">
      <c r="B392" s="37" t="n">
        <v>40354</v>
      </c>
      <c r="C392" s="38" t="n">
        <v>0.13</v>
      </c>
      <c r="D392" s="10" t="n">
        <v>3.17</v>
      </c>
      <c r="E392" s="13" t="n">
        <f aca="false">D392-C392</f>
        <v>3.04</v>
      </c>
    </row>
    <row r="393" customFormat="false" ht="15" hidden="false" customHeight="false" outlineLevel="0" collapsed="false">
      <c r="B393" s="37" t="n">
        <v>40361</v>
      </c>
      <c r="C393" s="38" t="n">
        <v>0.17</v>
      </c>
      <c r="D393" s="10" t="n">
        <v>2.99</v>
      </c>
      <c r="E393" s="13" t="n">
        <f aca="false">D393-C393</f>
        <v>2.82</v>
      </c>
    </row>
    <row r="394" customFormat="false" ht="15" hidden="false" customHeight="false" outlineLevel="0" collapsed="false">
      <c r="B394" s="37" t="n">
        <v>40368</v>
      </c>
      <c r="C394" s="38" t="n">
        <v>0.16</v>
      </c>
      <c r="D394" s="10" t="n">
        <v>3.02</v>
      </c>
      <c r="E394" s="13" t="n">
        <f aca="false">D394-C394</f>
        <v>2.86</v>
      </c>
    </row>
    <row r="395" customFormat="false" ht="15" hidden="false" customHeight="false" outlineLevel="0" collapsed="false">
      <c r="B395" s="37" t="n">
        <v>40375</v>
      </c>
      <c r="C395" s="38" t="n">
        <v>0.15</v>
      </c>
      <c r="D395" s="10" t="n">
        <v>3.05</v>
      </c>
      <c r="E395" s="13" t="n">
        <f aca="false">D395-C395</f>
        <v>2.9</v>
      </c>
    </row>
    <row r="396" customFormat="false" ht="15" hidden="false" customHeight="false" outlineLevel="0" collapsed="false">
      <c r="B396" s="37" t="n">
        <v>40382</v>
      </c>
      <c r="C396" s="38" t="n">
        <v>0.16</v>
      </c>
      <c r="D396" s="10" t="n">
        <v>2.97</v>
      </c>
      <c r="E396" s="13" t="n">
        <f aca="false">D396-C396</f>
        <v>2.81</v>
      </c>
    </row>
    <row r="397" customFormat="false" ht="15" hidden="false" customHeight="false" outlineLevel="0" collapsed="false">
      <c r="B397" s="37" t="n">
        <v>40389</v>
      </c>
      <c r="C397" s="38" t="n">
        <v>0.15</v>
      </c>
      <c r="D397" s="10" t="n">
        <v>3.02</v>
      </c>
      <c r="E397" s="13" t="n">
        <f aca="false">D397-C397</f>
        <v>2.87</v>
      </c>
    </row>
    <row r="398" customFormat="false" ht="15" hidden="false" customHeight="false" outlineLevel="0" collapsed="false">
      <c r="B398" s="37" t="n">
        <v>40396</v>
      </c>
      <c r="C398" s="38" t="n">
        <v>0.16</v>
      </c>
      <c r="D398" s="10" t="n">
        <v>2.94</v>
      </c>
      <c r="E398" s="13" t="n">
        <f aca="false">D398-C398</f>
        <v>2.78</v>
      </c>
    </row>
    <row r="399" customFormat="false" ht="15" hidden="false" customHeight="false" outlineLevel="0" collapsed="false">
      <c r="B399" s="37" t="n">
        <v>40403</v>
      </c>
      <c r="C399" s="38" t="n">
        <v>0.15</v>
      </c>
      <c r="D399" s="10" t="n">
        <v>2.76</v>
      </c>
      <c r="E399" s="13" t="n">
        <f aca="false">D399-C399</f>
        <v>2.61</v>
      </c>
    </row>
    <row r="400" customFormat="false" ht="15" hidden="false" customHeight="false" outlineLevel="0" collapsed="false">
      <c r="B400" s="37" t="n">
        <v>40410</v>
      </c>
      <c r="C400" s="38" t="n">
        <v>0.16</v>
      </c>
      <c r="D400" s="10" t="n">
        <v>2.61</v>
      </c>
      <c r="E400" s="13" t="n">
        <f aca="false">D400-C400</f>
        <v>2.45</v>
      </c>
    </row>
    <row r="401" customFormat="false" ht="15" hidden="false" customHeight="false" outlineLevel="0" collapsed="false">
      <c r="B401" s="37" t="n">
        <v>40417</v>
      </c>
      <c r="C401" s="38" t="n">
        <v>0.16</v>
      </c>
      <c r="D401" s="10" t="n">
        <v>2.56</v>
      </c>
      <c r="E401" s="13" t="n">
        <f aca="false">D401-C401</f>
        <v>2.4</v>
      </c>
    </row>
    <row r="402" customFormat="false" ht="15" hidden="false" customHeight="false" outlineLevel="0" collapsed="false">
      <c r="B402" s="37" t="n">
        <v>40424</v>
      </c>
      <c r="C402" s="38" t="n">
        <v>0.14</v>
      </c>
      <c r="D402" s="10" t="n">
        <v>2.59</v>
      </c>
      <c r="E402" s="13" t="n">
        <f aca="false">D402-C402</f>
        <v>2.45</v>
      </c>
    </row>
    <row r="403" customFormat="false" ht="15" hidden="false" customHeight="false" outlineLevel="0" collapsed="false">
      <c r="B403" s="37" t="n">
        <v>40431</v>
      </c>
      <c r="C403" s="38" t="n">
        <v>0.14</v>
      </c>
      <c r="D403" s="10" t="n">
        <v>2.71</v>
      </c>
      <c r="E403" s="13" t="n">
        <f aca="false">D403-C403</f>
        <v>2.57</v>
      </c>
    </row>
    <row r="404" customFormat="false" ht="15" hidden="false" customHeight="false" outlineLevel="0" collapsed="false">
      <c r="B404" s="37" t="n">
        <v>40438</v>
      </c>
      <c r="C404" s="38" t="n">
        <v>0.15</v>
      </c>
      <c r="D404" s="10" t="n">
        <v>2.74</v>
      </c>
      <c r="E404" s="13" t="n">
        <f aca="false">D404-C404</f>
        <v>2.59</v>
      </c>
    </row>
    <row r="405" customFormat="false" ht="15" hidden="false" customHeight="false" outlineLevel="0" collapsed="false">
      <c r="B405" s="37" t="n">
        <v>40445</v>
      </c>
      <c r="C405" s="38" t="n">
        <v>0.16</v>
      </c>
      <c r="D405" s="10" t="n">
        <v>2.61</v>
      </c>
      <c r="E405" s="13" t="n">
        <f aca="false">D405-C405</f>
        <v>2.45</v>
      </c>
    </row>
    <row r="406" customFormat="false" ht="15" hidden="false" customHeight="false" outlineLevel="0" collapsed="false">
      <c r="B406" s="37" t="n">
        <v>40452</v>
      </c>
      <c r="C406" s="38" t="n">
        <v>0.16</v>
      </c>
      <c r="D406" s="10" t="n">
        <v>2.52</v>
      </c>
      <c r="E406" s="13" t="n">
        <f aca="false">D406-C406</f>
        <v>2.36</v>
      </c>
    </row>
    <row r="407" customFormat="false" ht="15" hidden="false" customHeight="false" outlineLevel="0" collapsed="false">
      <c r="B407" s="37" t="n">
        <v>40459</v>
      </c>
      <c r="C407" s="38" t="n">
        <v>0.13</v>
      </c>
      <c r="D407" s="10" t="n">
        <v>2.45</v>
      </c>
      <c r="E407" s="13" t="n">
        <f aca="false">D407-C407</f>
        <v>2.32</v>
      </c>
    </row>
    <row r="408" customFormat="false" ht="15" hidden="false" customHeight="false" outlineLevel="0" collapsed="false">
      <c r="B408" s="37" t="n">
        <v>40466</v>
      </c>
      <c r="C408" s="38" t="n">
        <v>0.14</v>
      </c>
      <c r="D408" s="10" t="n">
        <v>2.5</v>
      </c>
      <c r="E408" s="13" t="n">
        <f aca="false">D408-C408</f>
        <v>2.36</v>
      </c>
    </row>
    <row r="409" customFormat="false" ht="15" hidden="false" customHeight="false" outlineLevel="0" collapsed="false">
      <c r="B409" s="37" t="n">
        <v>40473</v>
      </c>
      <c r="C409" s="38" t="n">
        <v>0.14</v>
      </c>
      <c r="D409" s="10" t="n">
        <v>2.54</v>
      </c>
      <c r="E409" s="13" t="n">
        <f aca="false">D409-C409</f>
        <v>2.4</v>
      </c>
    </row>
    <row r="410" customFormat="false" ht="15" hidden="false" customHeight="false" outlineLevel="0" collapsed="false">
      <c r="B410" s="37" t="n">
        <v>40480</v>
      </c>
      <c r="C410" s="38" t="n">
        <v>0.13</v>
      </c>
      <c r="D410" s="10" t="n">
        <v>2.67</v>
      </c>
      <c r="E410" s="13" t="n">
        <f aca="false">D410-C410</f>
        <v>2.54</v>
      </c>
    </row>
    <row r="411" customFormat="false" ht="15" hidden="false" customHeight="false" outlineLevel="0" collapsed="false">
      <c r="B411" s="37" t="n">
        <v>40487</v>
      </c>
      <c r="C411" s="38" t="n">
        <v>0.13</v>
      </c>
      <c r="D411" s="10" t="n">
        <v>2.61</v>
      </c>
      <c r="E411" s="13" t="n">
        <f aca="false">D411-C411</f>
        <v>2.48</v>
      </c>
    </row>
    <row r="412" customFormat="false" ht="15" hidden="false" customHeight="false" outlineLevel="0" collapsed="false">
      <c r="B412" s="37" t="n">
        <v>40494</v>
      </c>
      <c r="C412" s="38" t="n">
        <v>0.13</v>
      </c>
      <c r="D412" s="10" t="n">
        <v>2.68</v>
      </c>
      <c r="E412" s="13" t="n">
        <f aca="false">D412-C412</f>
        <v>2.55</v>
      </c>
    </row>
    <row r="413" customFormat="false" ht="15" hidden="false" customHeight="false" outlineLevel="0" collapsed="false">
      <c r="B413" s="37" t="n">
        <v>40501</v>
      </c>
      <c r="C413" s="38" t="n">
        <v>0.14</v>
      </c>
      <c r="D413" s="10" t="n">
        <v>2.89</v>
      </c>
      <c r="E413" s="13" t="n">
        <f aca="false">D413-C413</f>
        <v>2.75</v>
      </c>
    </row>
    <row r="414" customFormat="false" ht="15" hidden="false" customHeight="false" outlineLevel="0" collapsed="false">
      <c r="B414" s="37" t="n">
        <v>40508</v>
      </c>
      <c r="C414" s="38" t="n">
        <v>0.16</v>
      </c>
      <c r="D414" s="10" t="n">
        <v>2.84</v>
      </c>
      <c r="E414" s="13" t="n">
        <f aca="false">D414-C414</f>
        <v>2.68</v>
      </c>
    </row>
    <row r="415" customFormat="false" ht="15" hidden="false" customHeight="false" outlineLevel="0" collapsed="false">
      <c r="B415" s="37" t="n">
        <v>40515</v>
      </c>
      <c r="C415" s="38" t="n">
        <v>0.16</v>
      </c>
      <c r="D415" s="10" t="n">
        <v>2.93</v>
      </c>
      <c r="E415" s="13" t="n">
        <f aca="false">D415-C415</f>
        <v>2.77</v>
      </c>
    </row>
    <row r="416" customFormat="false" ht="15" hidden="false" customHeight="false" outlineLevel="0" collapsed="false">
      <c r="B416" s="37" t="n">
        <v>40522</v>
      </c>
      <c r="C416" s="38" t="n">
        <v>0.14</v>
      </c>
      <c r="D416" s="10" t="n">
        <v>3.18</v>
      </c>
      <c r="E416" s="13" t="n">
        <f aca="false">D416-C416</f>
        <v>3.04</v>
      </c>
    </row>
    <row r="417" customFormat="false" ht="15" hidden="false" customHeight="false" outlineLevel="0" collapsed="false">
      <c r="B417" s="37" t="n">
        <v>40529</v>
      </c>
      <c r="C417" s="38" t="n">
        <v>0.14</v>
      </c>
      <c r="D417" s="10" t="n">
        <v>3.42</v>
      </c>
      <c r="E417" s="13" t="n">
        <f aca="false">D417-C417</f>
        <v>3.28</v>
      </c>
    </row>
    <row r="418" customFormat="false" ht="15" hidden="false" customHeight="false" outlineLevel="0" collapsed="false">
      <c r="B418" s="37" t="n">
        <v>40536</v>
      </c>
      <c r="C418" s="38" t="n">
        <v>0.14</v>
      </c>
      <c r="D418" s="10" t="n">
        <v>3.37</v>
      </c>
      <c r="E418" s="13" t="n">
        <f aca="false">D418-C418</f>
        <v>3.23</v>
      </c>
    </row>
    <row r="419" customFormat="false" ht="15" hidden="false" customHeight="false" outlineLevel="0" collapsed="false">
      <c r="B419" s="37" t="n">
        <v>40543</v>
      </c>
      <c r="C419" s="38" t="n">
        <v>0.14</v>
      </c>
      <c r="D419" s="10" t="n">
        <v>3.38</v>
      </c>
      <c r="E419" s="13" t="n">
        <f aca="false">D419-C419</f>
        <v>3.24</v>
      </c>
    </row>
    <row r="420" customFormat="false" ht="15" hidden="false" customHeight="false" outlineLevel="0" collapsed="false">
      <c r="B420" s="37" t="n">
        <v>40550</v>
      </c>
      <c r="C420" s="38" t="n">
        <v>0.14</v>
      </c>
      <c r="D420" s="10" t="n">
        <v>3.4</v>
      </c>
      <c r="E420" s="13" t="n">
        <f aca="false">D420-C420</f>
        <v>3.26</v>
      </c>
    </row>
    <row r="421" customFormat="false" ht="15" hidden="false" customHeight="false" outlineLevel="0" collapsed="false">
      <c r="B421" s="37" t="n">
        <v>40557</v>
      </c>
      <c r="C421" s="38" t="n">
        <v>0.15</v>
      </c>
      <c r="D421" s="10" t="n">
        <v>3.36</v>
      </c>
      <c r="E421" s="13" t="n">
        <f aca="false">D421-C421</f>
        <v>3.21</v>
      </c>
    </row>
    <row r="422" customFormat="false" ht="15" hidden="false" customHeight="false" outlineLevel="0" collapsed="false">
      <c r="B422" s="37" t="n">
        <v>40564</v>
      </c>
      <c r="C422" s="38" t="n">
        <v>0.16</v>
      </c>
      <c r="D422" s="10" t="n">
        <v>3.42</v>
      </c>
      <c r="E422" s="13" t="n">
        <f aca="false">D422-C422</f>
        <v>3.26</v>
      </c>
    </row>
    <row r="423" customFormat="false" ht="15" hidden="false" customHeight="false" outlineLevel="0" collapsed="false">
      <c r="B423" s="37" t="n">
        <v>40571</v>
      </c>
      <c r="C423" s="38" t="n">
        <v>0.16</v>
      </c>
      <c r="D423" s="10" t="n">
        <v>3.4</v>
      </c>
      <c r="E423" s="13" t="n">
        <f aca="false">D423-C423</f>
        <v>3.24</v>
      </c>
    </row>
    <row r="424" customFormat="false" ht="15" hidden="false" customHeight="false" outlineLevel="0" collapsed="false">
      <c r="B424" s="37" t="n">
        <v>40578</v>
      </c>
      <c r="C424" s="38" t="n">
        <v>0.15</v>
      </c>
      <c r="D424" s="10" t="n">
        <v>3.54</v>
      </c>
      <c r="E424" s="13" t="n">
        <f aca="false">D424-C424</f>
        <v>3.39</v>
      </c>
    </row>
    <row r="425" customFormat="false" ht="15" hidden="false" customHeight="false" outlineLevel="0" collapsed="false">
      <c r="B425" s="37" t="n">
        <v>40585</v>
      </c>
      <c r="C425" s="38" t="n">
        <v>0.14</v>
      </c>
      <c r="D425" s="10" t="n">
        <v>3.68</v>
      </c>
      <c r="E425" s="13" t="n">
        <f aca="false">D425-C425</f>
        <v>3.54</v>
      </c>
    </row>
    <row r="426" customFormat="false" ht="15" hidden="false" customHeight="false" outlineLevel="0" collapsed="false">
      <c r="B426" s="37" t="n">
        <v>40592</v>
      </c>
      <c r="C426" s="38" t="n">
        <v>0.11</v>
      </c>
      <c r="D426" s="10" t="n">
        <v>3.6</v>
      </c>
      <c r="E426" s="13" t="n">
        <f aca="false">D426-C426</f>
        <v>3.49</v>
      </c>
    </row>
    <row r="427" customFormat="false" ht="15" hidden="false" customHeight="false" outlineLevel="0" collapsed="false">
      <c r="B427" s="37" t="n">
        <v>40599</v>
      </c>
      <c r="C427" s="38" t="n">
        <v>0.13</v>
      </c>
      <c r="D427" s="10" t="n">
        <v>3.46</v>
      </c>
      <c r="E427" s="13" t="n">
        <f aca="false">D427-C427</f>
        <v>3.33</v>
      </c>
    </row>
    <row r="428" customFormat="false" ht="15" hidden="false" customHeight="false" outlineLevel="0" collapsed="false">
      <c r="B428" s="37" t="n">
        <v>40606</v>
      </c>
      <c r="C428" s="38" t="n">
        <v>0.13</v>
      </c>
      <c r="D428" s="10" t="n">
        <v>3.47</v>
      </c>
      <c r="E428" s="13" t="n">
        <f aca="false">D428-C428</f>
        <v>3.34</v>
      </c>
    </row>
    <row r="429" customFormat="false" ht="15" hidden="false" customHeight="false" outlineLevel="0" collapsed="false">
      <c r="B429" s="37" t="n">
        <v>40613</v>
      </c>
      <c r="C429" s="38" t="n">
        <v>0.1</v>
      </c>
      <c r="D429" s="10" t="n">
        <v>3.46</v>
      </c>
      <c r="E429" s="13" t="n">
        <f aca="false">D429-C429</f>
        <v>3.36</v>
      </c>
    </row>
    <row r="430" customFormat="false" ht="15" hidden="false" customHeight="false" outlineLevel="0" collapsed="false">
      <c r="B430" s="37" t="n">
        <v>40620</v>
      </c>
      <c r="C430" s="38" t="n">
        <v>0.09</v>
      </c>
      <c r="D430" s="10" t="n">
        <v>3.29</v>
      </c>
      <c r="E430" s="13" t="n">
        <f aca="false">D430-C430</f>
        <v>3.2</v>
      </c>
    </row>
    <row r="431" customFormat="false" ht="15" hidden="false" customHeight="false" outlineLevel="0" collapsed="false">
      <c r="B431" s="37" t="n">
        <v>40627</v>
      </c>
      <c r="C431" s="38" t="n">
        <v>0.09</v>
      </c>
      <c r="D431" s="10" t="n">
        <v>3.38</v>
      </c>
      <c r="E431" s="13" t="n">
        <f aca="false">D431-C431</f>
        <v>3.29</v>
      </c>
    </row>
    <row r="432" customFormat="false" ht="15" hidden="false" customHeight="false" outlineLevel="0" collapsed="false">
      <c r="B432" s="37" t="n">
        <v>40634</v>
      </c>
      <c r="C432" s="38" t="n">
        <v>0.09</v>
      </c>
      <c r="D432" s="10" t="n">
        <v>3.47</v>
      </c>
      <c r="E432" s="13" t="n">
        <f aca="false">D432-C432</f>
        <v>3.38</v>
      </c>
    </row>
    <row r="433" customFormat="false" ht="15" hidden="false" customHeight="false" outlineLevel="0" collapsed="false">
      <c r="B433" s="37" t="n">
        <v>40641</v>
      </c>
      <c r="C433" s="38" t="n">
        <v>0.05</v>
      </c>
      <c r="D433" s="10" t="n">
        <v>3.54</v>
      </c>
      <c r="E433" s="13" t="n">
        <f aca="false">D433-C433</f>
        <v>3.49</v>
      </c>
    </row>
    <row r="434" customFormat="false" ht="15" hidden="false" customHeight="false" outlineLevel="0" collapsed="false">
      <c r="B434" s="37" t="n">
        <v>40648</v>
      </c>
      <c r="C434" s="38" t="n">
        <v>0.06</v>
      </c>
      <c r="D434" s="10" t="n">
        <v>3.51</v>
      </c>
      <c r="E434" s="13" t="n">
        <f aca="false">D434-C434</f>
        <v>3.45</v>
      </c>
    </row>
    <row r="435" customFormat="false" ht="15" hidden="false" customHeight="false" outlineLevel="0" collapsed="false">
      <c r="B435" s="37" t="n">
        <v>40655</v>
      </c>
      <c r="C435" s="38" t="n">
        <v>0.06</v>
      </c>
      <c r="D435" s="10" t="n">
        <v>3.41</v>
      </c>
      <c r="E435" s="13" t="n">
        <f aca="false">D435-C435</f>
        <v>3.35</v>
      </c>
    </row>
    <row r="436" customFormat="false" ht="15" hidden="false" customHeight="false" outlineLevel="0" collapsed="false">
      <c r="B436" s="37" t="n">
        <v>40662</v>
      </c>
      <c r="C436" s="38" t="n">
        <v>0.06</v>
      </c>
      <c r="D436" s="10" t="n">
        <v>3.36</v>
      </c>
      <c r="E436" s="13" t="n">
        <f aca="false">D436-C436</f>
        <v>3.3</v>
      </c>
    </row>
    <row r="437" customFormat="false" ht="15" hidden="false" customHeight="false" outlineLevel="0" collapsed="false">
      <c r="B437" s="37" t="n">
        <v>40669</v>
      </c>
      <c r="C437" s="38" t="n">
        <v>0.03</v>
      </c>
      <c r="D437" s="10" t="n">
        <v>3.24</v>
      </c>
      <c r="E437" s="13" t="n">
        <f aca="false">D437-C437</f>
        <v>3.21</v>
      </c>
    </row>
    <row r="438" customFormat="false" ht="15" hidden="false" customHeight="false" outlineLevel="0" collapsed="false">
      <c r="B438" s="37" t="n">
        <v>40676</v>
      </c>
      <c r="C438" s="38" t="n">
        <v>0.03</v>
      </c>
      <c r="D438" s="10" t="n">
        <v>3.2</v>
      </c>
      <c r="E438" s="13" t="n">
        <f aca="false">D438-C438</f>
        <v>3.17</v>
      </c>
    </row>
    <row r="439" customFormat="false" ht="15" hidden="false" customHeight="false" outlineLevel="0" collapsed="false">
      <c r="B439" s="37" t="n">
        <v>40683</v>
      </c>
      <c r="C439" s="38" t="n">
        <v>0.05</v>
      </c>
      <c r="D439" s="10" t="n">
        <v>3.15</v>
      </c>
      <c r="E439" s="13" t="n">
        <f aca="false">D439-C439</f>
        <v>3.1</v>
      </c>
    </row>
    <row r="440" customFormat="false" ht="15" hidden="false" customHeight="false" outlineLevel="0" collapsed="false">
      <c r="B440" s="37" t="n">
        <v>40690</v>
      </c>
      <c r="C440" s="38" t="n">
        <v>0.06</v>
      </c>
      <c r="D440" s="10" t="n">
        <v>3.1</v>
      </c>
      <c r="E440" s="13" t="n">
        <f aca="false">D440-C440</f>
        <v>3.04</v>
      </c>
    </row>
    <row r="441" customFormat="false" ht="15" hidden="false" customHeight="false" outlineLevel="0" collapsed="false">
      <c r="B441" s="37" t="n">
        <v>40697</v>
      </c>
      <c r="C441" s="38" t="n">
        <v>0.05</v>
      </c>
      <c r="D441" s="10" t="n">
        <v>3.01</v>
      </c>
      <c r="E441" s="13" t="n">
        <f aca="false">D441-C441</f>
        <v>2.96</v>
      </c>
    </row>
    <row r="442" customFormat="false" ht="15" hidden="false" customHeight="false" outlineLevel="0" collapsed="false">
      <c r="B442" s="37" t="n">
        <v>40704</v>
      </c>
      <c r="C442" s="38" t="n">
        <v>0.05</v>
      </c>
      <c r="D442" s="10" t="n">
        <v>3</v>
      </c>
      <c r="E442" s="13" t="n">
        <f aca="false">D442-C442</f>
        <v>2.95</v>
      </c>
    </row>
    <row r="443" customFormat="false" ht="15" hidden="false" customHeight="false" outlineLevel="0" collapsed="false">
      <c r="B443" s="37" t="n">
        <v>40711</v>
      </c>
      <c r="C443" s="38" t="n">
        <v>0.05</v>
      </c>
      <c r="D443" s="10" t="n">
        <v>2.99</v>
      </c>
      <c r="E443" s="13" t="n">
        <f aca="false">D443-C443</f>
        <v>2.94</v>
      </c>
    </row>
    <row r="444" customFormat="false" ht="15" hidden="false" customHeight="false" outlineLevel="0" collapsed="false">
      <c r="B444" s="37" t="n">
        <v>40718</v>
      </c>
      <c r="C444" s="38" t="n">
        <v>0.02</v>
      </c>
      <c r="D444" s="10" t="n">
        <v>2.96</v>
      </c>
      <c r="E444" s="13" t="n">
        <f aca="false">D444-C444</f>
        <v>2.94</v>
      </c>
    </row>
    <row r="445" customFormat="false" ht="15" hidden="false" customHeight="false" outlineLevel="0" collapsed="false">
      <c r="B445" s="37" t="n">
        <v>40725</v>
      </c>
      <c r="C445" s="38" t="n">
        <v>0.02</v>
      </c>
      <c r="D445" s="10" t="n">
        <v>3.11</v>
      </c>
      <c r="E445" s="13" t="n">
        <f aca="false">D445-C445</f>
        <v>3.09</v>
      </c>
    </row>
    <row r="446" customFormat="false" ht="15" hidden="false" customHeight="false" outlineLevel="0" collapsed="false">
      <c r="B446" s="37" t="n">
        <v>40732</v>
      </c>
      <c r="C446" s="38" t="n">
        <v>0.02</v>
      </c>
      <c r="D446" s="10" t="n">
        <v>3.12</v>
      </c>
      <c r="E446" s="13" t="n">
        <f aca="false">D446-C446</f>
        <v>3.1</v>
      </c>
    </row>
    <row r="447" customFormat="false" ht="15" hidden="false" customHeight="false" outlineLevel="0" collapsed="false">
      <c r="B447" s="37" t="n">
        <v>40739</v>
      </c>
      <c r="C447" s="38" t="n">
        <v>0.02</v>
      </c>
      <c r="D447" s="10" t="n">
        <v>2.94</v>
      </c>
      <c r="E447" s="13" t="n">
        <f aca="false">D447-C447</f>
        <v>2.92</v>
      </c>
    </row>
    <row r="448" customFormat="false" ht="15" hidden="false" customHeight="false" outlineLevel="0" collapsed="false">
      <c r="B448" s="37" t="n">
        <v>40746</v>
      </c>
      <c r="C448" s="38" t="n">
        <v>0.03</v>
      </c>
      <c r="D448" s="10" t="n">
        <v>2.97</v>
      </c>
      <c r="E448" s="13" t="n">
        <f aca="false">D448-C448</f>
        <v>2.94</v>
      </c>
    </row>
    <row r="449" customFormat="false" ht="15" hidden="false" customHeight="false" outlineLevel="0" collapsed="false">
      <c r="B449" s="37" t="n">
        <v>40753</v>
      </c>
      <c r="C449" s="38" t="n">
        <v>0.07</v>
      </c>
      <c r="D449" s="10" t="n">
        <v>2.97</v>
      </c>
      <c r="E449" s="13" t="n">
        <f aca="false">D449-C449</f>
        <v>2.9</v>
      </c>
    </row>
    <row r="450" customFormat="false" ht="15" hidden="false" customHeight="false" outlineLevel="0" collapsed="false">
      <c r="B450" s="37" t="n">
        <v>40760</v>
      </c>
      <c r="C450" s="38" t="n">
        <v>0.04</v>
      </c>
      <c r="D450" s="10" t="n">
        <v>2.62</v>
      </c>
      <c r="E450" s="13" t="n">
        <f aca="false">D450-C450</f>
        <v>2.58</v>
      </c>
    </row>
    <row r="451" customFormat="false" ht="15" hidden="false" customHeight="false" outlineLevel="0" collapsed="false">
      <c r="B451" s="37" t="n">
        <v>40767</v>
      </c>
      <c r="C451" s="38" t="n">
        <v>0.03</v>
      </c>
      <c r="D451" s="10" t="n">
        <v>2.27</v>
      </c>
      <c r="E451" s="13" t="n">
        <f aca="false">D451-C451</f>
        <v>2.24</v>
      </c>
    </row>
    <row r="452" customFormat="false" ht="15" hidden="false" customHeight="false" outlineLevel="0" collapsed="false">
      <c r="B452" s="37" t="n">
        <v>40774</v>
      </c>
      <c r="C452" s="38" t="n">
        <v>0.02</v>
      </c>
      <c r="D452" s="10" t="n">
        <v>2.17</v>
      </c>
      <c r="E452" s="13" t="n">
        <f aca="false">D452-C452</f>
        <v>2.15</v>
      </c>
    </row>
    <row r="453" customFormat="false" ht="15" hidden="false" customHeight="false" outlineLevel="0" collapsed="false">
      <c r="B453" s="37" t="n">
        <v>40781</v>
      </c>
      <c r="C453" s="38" t="n">
        <v>0.01</v>
      </c>
      <c r="D453" s="10" t="n">
        <v>2.19</v>
      </c>
      <c r="E453" s="13" t="n">
        <f aca="false">D453-C453</f>
        <v>2.18</v>
      </c>
    </row>
    <row r="454" customFormat="false" ht="15" hidden="false" customHeight="false" outlineLevel="0" collapsed="false">
      <c r="B454" s="37" t="n">
        <v>40788</v>
      </c>
      <c r="C454" s="38" t="n">
        <v>0.02</v>
      </c>
      <c r="D454" s="10" t="n">
        <v>2.17</v>
      </c>
      <c r="E454" s="13" t="n">
        <f aca="false">D454-C454</f>
        <v>2.15</v>
      </c>
    </row>
    <row r="455" customFormat="false" ht="15" hidden="false" customHeight="false" outlineLevel="0" collapsed="false">
      <c r="B455" s="37" t="n">
        <v>40795</v>
      </c>
      <c r="C455" s="38" t="n">
        <v>0.02</v>
      </c>
      <c r="D455" s="10" t="n">
        <v>1.99</v>
      </c>
      <c r="E455" s="13" t="n">
        <f aca="false">D455-C455</f>
        <v>1.97</v>
      </c>
    </row>
    <row r="456" customFormat="false" ht="15" hidden="false" customHeight="false" outlineLevel="0" collapsed="false">
      <c r="B456" s="37" t="n">
        <v>40802</v>
      </c>
      <c r="C456" s="38" t="n">
        <v>0.01</v>
      </c>
      <c r="D456" s="10" t="n">
        <v>2.03</v>
      </c>
      <c r="E456" s="13" t="n">
        <f aca="false">D456-C456</f>
        <v>2.02</v>
      </c>
    </row>
    <row r="457" customFormat="false" ht="15" hidden="false" customHeight="false" outlineLevel="0" collapsed="false">
      <c r="B457" s="37" t="n">
        <v>40809</v>
      </c>
      <c r="C457" s="38" t="n">
        <v>0.01</v>
      </c>
      <c r="D457" s="10" t="n">
        <v>1.87</v>
      </c>
      <c r="E457" s="13" t="n">
        <f aca="false">D457-C457</f>
        <v>1.86</v>
      </c>
    </row>
    <row r="458" customFormat="false" ht="15" hidden="false" customHeight="false" outlineLevel="0" collapsed="false">
      <c r="B458" s="37" t="n">
        <v>40816</v>
      </c>
      <c r="C458" s="38" t="n">
        <v>0.02</v>
      </c>
      <c r="D458" s="10" t="n">
        <v>1.97</v>
      </c>
      <c r="E458" s="13" t="n">
        <f aca="false">D458-C458</f>
        <v>1.95</v>
      </c>
    </row>
    <row r="459" customFormat="false" ht="15" hidden="false" customHeight="false" outlineLevel="0" collapsed="false">
      <c r="B459" s="37" t="n">
        <v>40823</v>
      </c>
      <c r="C459" s="38" t="n">
        <v>0.01</v>
      </c>
      <c r="D459" s="10" t="n">
        <v>1.93</v>
      </c>
      <c r="E459" s="13" t="n">
        <f aca="false">D459-C459</f>
        <v>1.92</v>
      </c>
    </row>
    <row r="460" customFormat="false" ht="15" hidden="false" customHeight="false" outlineLevel="0" collapsed="false">
      <c r="B460" s="37" t="n">
        <v>40830</v>
      </c>
      <c r="C460" s="38" t="n">
        <v>0.02</v>
      </c>
      <c r="D460" s="10" t="n">
        <v>2.22</v>
      </c>
      <c r="E460" s="13" t="n">
        <f aca="false">D460-C460</f>
        <v>2.2</v>
      </c>
    </row>
    <row r="461" customFormat="false" ht="15" hidden="false" customHeight="false" outlineLevel="0" collapsed="false">
      <c r="B461" s="37" t="n">
        <v>40837</v>
      </c>
      <c r="C461" s="38" t="n">
        <v>0.03</v>
      </c>
      <c r="D461" s="10" t="n">
        <v>2.2</v>
      </c>
      <c r="E461" s="13" t="n">
        <f aca="false">D461-C461</f>
        <v>2.17</v>
      </c>
    </row>
    <row r="462" customFormat="false" ht="15" hidden="false" customHeight="false" outlineLevel="0" collapsed="false">
      <c r="B462" s="37" t="n">
        <v>40844</v>
      </c>
      <c r="C462" s="38" t="n">
        <v>0.02</v>
      </c>
      <c r="D462" s="10" t="n">
        <v>2.28</v>
      </c>
      <c r="E462" s="13" t="n">
        <f aca="false">D462-C462</f>
        <v>2.26</v>
      </c>
    </row>
    <row r="463" customFormat="false" ht="15" hidden="false" customHeight="false" outlineLevel="0" collapsed="false">
      <c r="B463" s="37" t="n">
        <v>40851</v>
      </c>
      <c r="C463" s="38" t="n">
        <v>0.01</v>
      </c>
      <c r="D463" s="10" t="n">
        <v>2.07</v>
      </c>
      <c r="E463" s="13" t="n">
        <f aca="false">D463-C463</f>
        <v>2.06</v>
      </c>
    </row>
    <row r="464" customFormat="false" ht="15" hidden="false" customHeight="false" outlineLevel="0" collapsed="false">
      <c r="B464" s="37" t="n">
        <v>40858</v>
      </c>
      <c r="C464" s="38" t="n">
        <v>0.01</v>
      </c>
      <c r="D464" s="10" t="n">
        <v>2.05</v>
      </c>
      <c r="E464" s="13" t="n">
        <f aca="false">D464-C464</f>
        <v>2.04</v>
      </c>
    </row>
    <row r="465" customFormat="false" ht="15" hidden="false" customHeight="false" outlineLevel="0" collapsed="false">
      <c r="B465" s="37" t="n">
        <v>40865</v>
      </c>
      <c r="C465" s="38" t="n">
        <v>0.01</v>
      </c>
      <c r="D465" s="10" t="n">
        <v>2.02</v>
      </c>
      <c r="E465" s="13" t="n">
        <f aca="false">D465-C465</f>
        <v>2.01</v>
      </c>
    </row>
    <row r="466" customFormat="false" ht="15" hidden="false" customHeight="false" outlineLevel="0" collapsed="false">
      <c r="B466" s="37" t="n">
        <v>40872</v>
      </c>
      <c r="C466" s="38" t="n">
        <v>0.02</v>
      </c>
      <c r="D466" s="10" t="n">
        <v>1.94</v>
      </c>
      <c r="E466" s="13" t="n">
        <f aca="false">D466-C466</f>
        <v>1.92</v>
      </c>
    </row>
    <row r="467" customFormat="false" ht="15" hidden="false" customHeight="false" outlineLevel="0" collapsed="false">
      <c r="B467" s="37" t="n">
        <v>40879</v>
      </c>
      <c r="C467" s="38" t="n">
        <v>0.02</v>
      </c>
      <c r="D467" s="10" t="n">
        <v>2.04</v>
      </c>
      <c r="E467" s="13" t="n">
        <f aca="false">D467-C467</f>
        <v>2.02</v>
      </c>
    </row>
    <row r="468" customFormat="false" ht="15" hidden="false" customHeight="false" outlineLevel="0" collapsed="false">
      <c r="B468" s="37" t="n">
        <v>40886</v>
      </c>
      <c r="C468" s="38" t="n">
        <v>0.01</v>
      </c>
      <c r="D468" s="10" t="n">
        <v>2.04</v>
      </c>
      <c r="E468" s="13" t="n">
        <f aca="false">D468-C468</f>
        <v>2.03</v>
      </c>
    </row>
    <row r="469" customFormat="false" ht="15" hidden="false" customHeight="false" outlineLevel="0" collapsed="false">
      <c r="B469" s="37" t="n">
        <v>40893</v>
      </c>
      <c r="C469" s="38" t="n">
        <v>0.01</v>
      </c>
      <c r="D469" s="10" t="n">
        <v>1.94</v>
      </c>
      <c r="E469" s="13" t="n">
        <f aca="false">D469-C469</f>
        <v>1.93</v>
      </c>
    </row>
    <row r="470" customFormat="false" ht="15" hidden="false" customHeight="false" outlineLevel="0" collapsed="false">
      <c r="B470" s="37" t="n">
        <v>40900</v>
      </c>
      <c r="C470" s="38" t="n">
        <v>0.01</v>
      </c>
      <c r="D470" s="10" t="n">
        <v>1.95</v>
      </c>
      <c r="E470" s="13" t="n">
        <f aca="false">D470-C470</f>
        <v>1.94</v>
      </c>
    </row>
    <row r="471" customFormat="false" ht="15" hidden="false" customHeight="false" outlineLevel="0" collapsed="false">
      <c r="B471" s="37" t="n">
        <v>40907</v>
      </c>
      <c r="C471" s="38" t="n">
        <v>0.02</v>
      </c>
      <c r="D471" s="10" t="n">
        <v>1.94</v>
      </c>
      <c r="E471" s="13" t="n">
        <f aca="false">D471-C471</f>
        <v>1.92</v>
      </c>
    </row>
    <row r="472" customFormat="false" ht="15" hidden="false" customHeight="false" outlineLevel="0" collapsed="false">
      <c r="B472" s="37" t="n">
        <v>40914</v>
      </c>
      <c r="C472" s="38" t="n">
        <v>0.02</v>
      </c>
      <c r="D472" s="10" t="n">
        <v>1.99</v>
      </c>
      <c r="E472" s="13" t="n">
        <f aca="false">D472-C472</f>
        <v>1.97</v>
      </c>
    </row>
    <row r="473" customFormat="false" ht="15" hidden="false" customHeight="false" outlineLevel="0" collapsed="false">
      <c r="B473" s="37" t="n">
        <v>40921</v>
      </c>
      <c r="C473" s="38" t="n">
        <v>0.02</v>
      </c>
      <c r="D473" s="10" t="n">
        <v>1.95</v>
      </c>
      <c r="E473" s="13" t="n">
        <f aca="false">D473-C473</f>
        <v>1.93</v>
      </c>
    </row>
    <row r="474" customFormat="false" ht="15" hidden="false" customHeight="false" outlineLevel="0" collapsed="false">
      <c r="B474" s="37" t="n">
        <v>40928</v>
      </c>
      <c r="C474" s="38" t="n">
        <v>0.04</v>
      </c>
      <c r="D474" s="10" t="n">
        <v>1.96</v>
      </c>
      <c r="E474" s="13" t="n">
        <f aca="false">D474-C474</f>
        <v>1.92</v>
      </c>
    </row>
    <row r="475" customFormat="false" ht="15" hidden="false" customHeight="false" outlineLevel="0" collapsed="false">
      <c r="B475" s="37" t="n">
        <v>40935</v>
      </c>
      <c r="C475" s="38" t="n">
        <v>0.05</v>
      </c>
      <c r="D475" s="10" t="n">
        <v>2.01</v>
      </c>
      <c r="E475" s="13" t="n">
        <f aca="false">D475-C475</f>
        <v>1.96</v>
      </c>
    </row>
    <row r="476" customFormat="false" ht="15" hidden="false" customHeight="false" outlineLevel="0" collapsed="false">
      <c r="B476" s="37" t="n">
        <v>40942</v>
      </c>
      <c r="C476" s="38" t="n">
        <v>0.07</v>
      </c>
      <c r="D476" s="10" t="n">
        <v>1.88</v>
      </c>
      <c r="E476" s="13" t="n">
        <f aca="false">D476-C476</f>
        <v>1.81</v>
      </c>
    </row>
    <row r="477" customFormat="false" ht="15" hidden="false" customHeight="false" outlineLevel="0" collapsed="false">
      <c r="B477" s="37" t="n">
        <v>40949</v>
      </c>
      <c r="C477" s="38" t="n">
        <v>0.09</v>
      </c>
      <c r="D477" s="10" t="n">
        <v>1.99</v>
      </c>
      <c r="E477" s="13" t="n">
        <f aca="false">D477-C477</f>
        <v>1.9</v>
      </c>
    </row>
    <row r="478" customFormat="false" ht="15" hidden="false" customHeight="false" outlineLevel="0" collapsed="false">
      <c r="B478" s="37" t="n">
        <v>40956</v>
      </c>
      <c r="C478" s="38" t="n">
        <v>0.11</v>
      </c>
      <c r="D478" s="10" t="n">
        <v>1.97</v>
      </c>
      <c r="E478" s="13" t="n">
        <f aca="false">D478-C478</f>
        <v>1.86</v>
      </c>
    </row>
    <row r="479" customFormat="false" ht="15" hidden="false" customHeight="false" outlineLevel="0" collapsed="false">
      <c r="B479" s="37" t="n">
        <v>40963</v>
      </c>
      <c r="C479" s="38" t="n">
        <v>0.09</v>
      </c>
      <c r="D479" s="10" t="n">
        <v>2.01</v>
      </c>
      <c r="E479" s="13" t="n">
        <f aca="false">D479-C479</f>
        <v>1.92</v>
      </c>
    </row>
    <row r="480" customFormat="false" ht="15" hidden="false" customHeight="false" outlineLevel="0" collapsed="false">
      <c r="B480" s="37" t="n">
        <v>40970</v>
      </c>
      <c r="C480" s="38" t="n">
        <v>0.09</v>
      </c>
      <c r="D480" s="10" t="n">
        <v>1.97</v>
      </c>
      <c r="E480" s="13" t="n">
        <f aca="false">D480-C480</f>
        <v>1.88</v>
      </c>
    </row>
    <row r="481" customFormat="false" ht="15" hidden="false" customHeight="false" outlineLevel="0" collapsed="false">
      <c r="B481" s="37" t="n">
        <v>40977</v>
      </c>
      <c r="C481" s="38" t="n">
        <v>0.08</v>
      </c>
      <c r="D481" s="10" t="n">
        <v>2</v>
      </c>
      <c r="E481" s="13" t="n">
        <f aca="false">D481-C481</f>
        <v>1.92</v>
      </c>
    </row>
    <row r="482" customFormat="false" ht="15" hidden="false" customHeight="false" outlineLevel="0" collapsed="false">
      <c r="B482" s="37" t="n">
        <v>40984</v>
      </c>
      <c r="C482" s="38" t="n">
        <v>0.09</v>
      </c>
      <c r="D482" s="10" t="n">
        <v>2.21</v>
      </c>
      <c r="E482" s="13" t="n">
        <f aca="false">D482-C482</f>
        <v>2.12</v>
      </c>
    </row>
    <row r="483" customFormat="false" ht="15" hidden="false" customHeight="false" outlineLevel="0" collapsed="false">
      <c r="B483" s="37" t="n">
        <v>40991</v>
      </c>
      <c r="C483" s="38" t="n">
        <v>0.09</v>
      </c>
      <c r="D483" s="10" t="n">
        <v>2.32</v>
      </c>
      <c r="E483" s="13" t="n">
        <f aca="false">D483-C483</f>
        <v>2.23</v>
      </c>
    </row>
    <row r="484" customFormat="false" ht="15" hidden="false" customHeight="false" outlineLevel="0" collapsed="false">
      <c r="B484" s="37" t="n">
        <v>40998</v>
      </c>
      <c r="C484" s="38" t="n">
        <v>0.08</v>
      </c>
      <c r="D484" s="10" t="n">
        <v>2.22</v>
      </c>
      <c r="E484" s="13" t="n">
        <f aca="false">D484-C484</f>
        <v>2.14</v>
      </c>
    </row>
    <row r="485" customFormat="false" ht="15" hidden="false" customHeight="false" outlineLevel="0" collapsed="false">
      <c r="B485" s="37" t="n">
        <v>41005</v>
      </c>
      <c r="C485" s="38" t="n">
        <v>0.08</v>
      </c>
      <c r="D485" s="10" t="n">
        <v>2.21</v>
      </c>
      <c r="E485" s="13" t="n">
        <f aca="false">D485-C485</f>
        <v>2.13</v>
      </c>
    </row>
    <row r="486" customFormat="false" ht="15" hidden="false" customHeight="false" outlineLevel="0" collapsed="false">
      <c r="B486" s="37" t="n">
        <v>41012</v>
      </c>
      <c r="C486" s="38" t="n">
        <v>0.09</v>
      </c>
      <c r="D486" s="10" t="n">
        <v>2.04</v>
      </c>
      <c r="E486" s="13" t="n">
        <f aca="false">D486-C486</f>
        <v>1.95</v>
      </c>
    </row>
    <row r="487" customFormat="false" ht="15" hidden="false" customHeight="false" outlineLevel="0" collapsed="false">
      <c r="B487" s="37" t="n">
        <v>41019</v>
      </c>
      <c r="C487" s="38" t="n">
        <v>0.08</v>
      </c>
      <c r="D487" s="10" t="n">
        <v>2</v>
      </c>
      <c r="E487" s="13" t="n">
        <f aca="false">D487-C487</f>
        <v>1.92</v>
      </c>
    </row>
    <row r="488" customFormat="false" ht="15" hidden="false" customHeight="false" outlineLevel="0" collapsed="false">
      <c r="B488" s="37" t="n">
        <v>41026</v>
      </c>
      <c r="C488" s="38" t="n">
        <v>0.09</v>
      </c>
      <c r="D488" s="10" t="n">
        <v>1.98</v>
      </c>
      <c r="E488" s="13" t="n">
        <f aca="false">D488-C488</f>
        <v>1.89</v>
      </c>
    </row>
    <row r="489" customFormat="false" ht="15" hidden="false" customHeight="false" outlineLevel="0" collapsed="false">
      <c r="B489" s="37" t="n">
        <v>41033</v>
      </c>
      <c r="C489" s="38" t="n">
        <v>0.09</v>
      </c>
      <c r="D489" s="10" t="n">
        <v>1.95</v>
      </c>
      <c r="E489" s="13" t="n">
        <f aca="false">D489-C489</f>
        <v>1.86</v>
      </c>
    </row>
    <row r="490" customFormat="false" ht="15" hidden="false" customHeight="false" outlineLevel="0" collapsed="false">
      <c r="B490" s="37" t="n">
        <v>41040</v>
      </c>
      <c r="C490" s="38" t="n">
        <v>0.1</v>
      </c>
      <c r="D490" s="10" t="n">
        <v>1.88</v>
      </c>
      <c r="E490" s="13" t="n">
        <f aca="false">D490-C490</f>
        <v>1.78</v>
      </c>
    </row>
    <row r="491" customFormat="false" ht="15" hidden="false" customHeight="false" outlineLevel="0" collapsed="false">
      <c r="B491" s="37" t="n">
        <v>41047</v>
      </c>
      <c r="C491" s="38" t="n">
        <v>0.09</v>
      </c>
      <c r="D491" s="10" t="n">
        <v>1.74</v>
      </c>
      <c r="E491" s="13" t="n">
        <f aca="false">D491-C491</f>
        <v>1.65</v>
      </c>
    </row>
    <row r="492" customFormat="false" ht="15" hidden="false" customHeight="false" outlineLevel="0" collapsed="false">
      <c r="B492" s="37" t="n">
        <v>41054</v>
      </c>
      <c r="C492" s="38" t="n">
        <v>0.09</v>
      </c>
      <c r="D492" s="10" t="n">
        <v>1.76</v>
      </c>
      <c r="E492" s="13" t="n">
        <f aca="false">D492-C492</f>
        <v>1.67</v>
      </c>
    </row>
    <row r="493" customFormat="false" ht="15" hidden="false" customHeight="false" outlineLevel="0" collapsed="false">
      <c r="B493" s="37" t="n">
        <v>41061</v>
      </c>
      <c r="C493" s="38" t="n">
        <v>0.08</v>
      </c>
      <c r="D493" s="10" t="n">
        <v>1.61</v>
      </c>
      <c r="E493" s="13" t="n">
        <f aca="false">D493-C493</f>
        <v>1.53</v>
      </c>
    </row>
    <row r="494" customFormat="false" ht="15" hidden="false" customHeight="false" outlineLevel="0" collapsed="false">
      <c r="B494" s="37" t="n">
        <v>41068</v>
      </c>
      <c r="C494" s="38" t="n">
        <v>0.09</v>
      </c>
      <c r="D494" s="10" t="n">
        <v>1.61</v>
      </c>
      <c r="E494" s="13" t="n">
        <f aca="false">D494-C494</f>
        <v>1.52</v>
      </c>
    </row>
    <row r="495" customFormat="false" ht="15" hidden="false" customHeight="false" outlineLevel="0" collapsed="false">
      <c r="B495" s="37" t="n">
        <v>41075</v>
      </c>
      <c r="C495" s="38" t="n">
        <v>0.1</v>
      </c>
      <c r="D495" s="10" t="n">
        <v>1.62</v>
      </c>
      <c r="E495" s="13" t="n">
        <f aca="false">D495-C495</f>
        <v>1.52</v>
      </c>
    </row>
    <row r="496" customFormat="false" ht="15" hidden="false" customHeight="false" outlineLevel="0" collapsed="false">
      <c r="B496" s="37" t="n">
        <v>41082</v>
      </c>
      <c r="C496" s="38" t="n">
        <v>0.09</v>
      </c>
      <c r="D496" s="10" t="n">
        <v>1.64</v>
      </c>
      <c r="E496" s="13" t="n">
        <f aca="false">D496-C496</f>
        <v>1.55</v>
      </c>
    </row>
    <row r="497" customFormat="false" ht="15" hidden="false" customHeight="false" outlineLevel="0" collapsed="false">
      <c r="B497" s="37" t="n">
        <v>41089</v>
      </c>
      <c r="C497" s="38" t="n">
        <v>0.09</v>
      </c>
      <c r="D497" s="10" t="n">
        <v>1.64</v>
      </c>
      <c r="E497" s="13" t="n">
        <f aca="false">D497-C497</f>
        <v>1.55</v>
      </c>
    </row>
    <row r="498" customFormat="false" ht="15" hidden="false" customHeight="false" outlineLevel="0" collapsed="false">
      <c r="B498" s="37" t="n">
        <v>41096</v>
      </c>
      <c r="C498" s="38" t="n">
        <v>0.09</v>
      </c>
      <c r="D498" s="10" t="n">
        <v>1.61</v>
      </c>
      <c r="E498" s="13" t="n">
        <f aca="false">D498-C498</f>
        <v>1.52</v>
      </c>
    </row>
    <row r="499" customFormat="false" ht="15" hidden="false" customHeight="false" outlineLevel="0" collapsed="false">
      <c r="B499" s="37" t="n">
        <v>41103</v>
      </c>
      <c r="C499" s="38" t="n">
        <v>0.1</v>
      </c>
      <c r="D499" s="10" t="n">
        <v>1.52</v>
      </c>
      <c r="E499" s="13" t="n">
        <f aca="false">D499-C499</f>
        <v>1.42</v>
      </c>
    </row>
    <row r="500" customFormat="false" ht="15" hidden="false" customHeight="false" outlineLevel="0" collapsed="false">
      <c r="B500" s="37" t="n">
        <v>41110</v>
      </c>
      <c r="C500" s="38" t="n">
        <v>0.09</v>
      </c>
      <c r="D500" s="10" t="n">
        <v>1.52</v>
      </c>
      <c r="E500" s="13" t="n">
        <f aca="false">D500-C500</f>
        <v>1.43</v>
      </c>
    </row>
    <row r="501" customFormat="false" ht="15" hidden="false" customHeight="false" outlineLevel="0" collapsed="false">
      <c r="B501" s="37" t="n">
        <v>41117</v>
      </c>
      <c r="C501" s="38" t="n">
        <v>0.1</v>
      </c>
      <c r="D501" s="10" t="n">
        <v>1.47</v>
      </c>
      <c r="E501" s="13" t="n">
        <f aca="false">D501-C501</f>
        <v>1.37</v>
      </c>
    </row>
    <row r="502" customFormat="false" ht="15" hidden="false" customHeight="false" outlineLevel="0" collapsed="false">
      <c r="B502" s="37" t="n">
        <v>41124</v>
      </c>
      <c r="C502" s="38" t="n">
        <v>0.1</v>
      </c>
      <c r="D502" s="10" t="n">
        <v>1.54</v>
      </c>
      <c r="E502" s="13" t="n">
        <f aca="false">D502-C502</f>
        <v>1.44</v>
      </c>
    </row>
    <row r="503" customFormat="false" ht="15" hidden="false" customHeight="false" outlineLevel="0" collapsed="false">
      <c r="B503" s="37" t="n">
        <v>41131</v>
      </c>
      <c r="C503" s="38" t="n">
        <v>0.11</v>
      </c>
      <c r="D503" s="10" t="n">
        <v>1.65</v>
      </c>
      <c r="E503" s="13" t="n">
        <f aca="false">D503-C503</f>
        <v>1.54</v>
      </c>
    </row>
    <row r="504" customFormat="false" ht="15" hidden="false" customHeight="false" outlineLevel="0" collapsed="false">
      <c r="B504" s="37" t="n">
        <v>41138</v>
      </c>
      <c r="C504" s="38" t="n">
        <v>0.1</v>
      </c>
      <c r="D504" s="10" t="n">
        <v>1.76</v>
      </c>
      <c r="E504" s="13" t="n">
        <f aca="false">D504-C504</f>
        <v>1.66</v>
      </c>
    </row>
    <row r="505" customFormat="false" ht="15" hidden="false" customHeight="false" outlineLevel="0" collapsed="false">
      <c r="B505" s="37" t="n">
        <v>41145</v>
      </c>
      <c r="C505" s="38" t="n">
        <v>0.11</v>
      </c>
      <c r="D505" s="10" t="n">
        <v>1.74</v>
      </c>
      <c r="E505" s="13" t="n">
        <f aca="false">D505-C505</f>
        <v>1.63</v>
      </c>
    </row>
    <row r="506" customFormat="false" ht="15" hidden="false" customHeight="false" outlineLevel="0" collapsed="false">
      <c r="B506" s="37" t="n">
        <v>41152</v>
      </c>
      <c r="C506" s="38" t="n">
        <v>0.1</v>
      </c>
      <c r="D506" s="10" t="n">
        <v>1.63</v>
      </c>
      <c r="E506" s="13" t="n">
        <f aca="false">D506-C506</f>
        <v>1.53</v>
      </c>
    </row>
    <row r="507" customFormat="false" ht="15" hidden="false" customHeight="false" outlineLevel="0" collapsed="false">
      <c r="B507" s="37" t="n">
        <v>41159</v>
      </c>
      <c r="C507" s="38" t="n">
        <v>0.11</v>
      </c>
      <c r="D507" s="10" t="n">
        <v>1.64</v>
      </c>
      <c r="E507" s="13" t="n">
        <f aca="false">D507-C507</f>
        <v>1.53</v>
      </c>
    </row>
    <row r="508" customFormat="false" ht="15" hidden="false" customHeight="false" outlineLevel="0" collapsed="false">
      <c r="B508" s="37" t="n">
        <v>41166</v>
      </c>
      <c r="C508" s="38" t="n">
        <v>0.1</v>
      </c>
      <c r="D508" s="10" t="n">
        <v>1.76</v>
      </c>
      <c r="E508" s="13" t="n">
        <f aca="false">D508-C508</f>
        <v>1.66</v>
      </c>
    </row>
    <row r="509" customFormat="false" ht="15" hidden="false" customHeight="false" outlineLevel="0" collapsed="false">
      <c r="B509" s="37" t="n">
        <v>41173</v>
      </c>
      <c r="C509" s="38" t="n">
        <v>0.11</v>
      </c>
      <c r="D509" s="10" t="n">
        <v>1.81</v>
      </c>
      <c r="E509" s="13" t="n">
        <f aca="false">D509-C509</f>
        <v>1.7</v>
      </c>
    </row>
    <row r="510" customFormat="false" ht="15" hidden="false" customHeight="false" outlineLevel="0" collapsed="false">
      <c r="B510" s="37" t="n">
        <v>41180</v>
      </c>
      <c r="C510" s="38" t="n">
        <v>0.1</v>
      </c>
      <c r="D510" s="10" t="n">
        <v>1.68</v>
      </c>
      <c r="E510" s="13" t="n">
        <f aca="false">D510-C510</f>
        <v>1.58</v>
      </c>
    </row>
    <row r="511" customFormat="false" ht="15" hidden="false" customHeight="false" outlineLevel="0" collapsed="false">
      <c r="B511" s="37" t="n">
        <v>41187</v>
      </c>
      <c r="C511" s="38" t="n">
        <v>0.1</v>
      </c>
      <c r="D511" s="10" t="n">
        <v>1.67</v>
      </c>
      <c r="E511" s="13" t="n">
        <f aca="false">D511-C511</f>
        <v>1.57</v>
      </c>
    </row>
    <row r="512" customFormat="false" ht="15" hidden="false" customHeight="false" outlineLevel="0" collapsed="false">
      <c r="B512" s="37" t="n">
        <v>41194</v>
      </c>
      <c r="C512" s="38" t="n">
        <v>0.1</v>
      </c>
      <c r="D512" s="10" t="n">
        <v>1.71</v>
      </c>
      <c r="E512" s="13" t="n">
        <f aca="false">D512-C512</f>
        <v>1.61</v>
      </c>
    </row>
    <row r="513" customFormat="false" ht="15" hidden="false" customHeight="false" outlineLevel="0" collapsed="false">
      <c r="B513" s="37" t="n">
        <v>41201</v>
      </c>
      <c r="C513" s="38" t="n">
        <v>0.1</v>
      </c>
      <c r="D513" s="10" t="n">
        <v>1.79</v>
      </c>
      <c r="E513" s="13" t="n">
        <f aca="false">D513-C513</f>
        <v>1.69</v>
      </c>
    </row>
    <row r="514" customFormat="false" ht="15" hidden="false" customHeight="false" outlineLevel="0" collapsed="false">
      <c r="B514" s="37" t="n">
        <v>41208</v>
      </c>
      <c r="C514" s="38" t="n">
        <v>0.11</v>
      </c>
      <c r="D514" s="10" t="n">
        <v>1.81</v>
      </c>
      <c r="E514" s="13" t="n">
        <f aca="false">D514-C514</f>
        <v>1.7</v>
      </c>
    </row>
    <row r="515" customFormat="false" ht="15" hidden="false" customHeight="false" outlineLevel="0" collapsed="false">
      <c r="B515" s="37" t="n">
        <v>41215</v>
      </c>
      <c r="C515" s="38" t="n">
        <v>0.11</v>
      </c>
      <c r="D515" s="10" t="n">
        <v>1.74</v>
      </c>
      <c r="E515" s="13" t="n">
        <f aca="false">D515-C515</f>
        <v>1.63</v>
      </c>
    </row>
    <row r="516" customFormat="false" ht="15" hidden="false" customHeight="false" outlineLevel="0" collapsed="false">
      <c r="B516" s="37" t="n">
        <v>41222</v>
      </c>
      <c r="C516" s="38" t="n">
        <v>0.1</v>
      </c>
      <c r="D516" s="10" t="n">
        <v>1.68</v>
      </c>
      <c r="E516" s="13" t="n">
        <f aca="false">D516-C516</f>
        <v>1.58</v>
      </c>
    </row>
    <row r="517" customFormat="false" ht="15" hidden="false" customHeight="false" outlineLevel="0" collapsed="false">
      <c r="B517" s="37" t="n">
        <v>41229</v>
      </c>
      <c r="C517" s="38" t="n">
        <v>0.09</v>
      </c>
      <c r="D517" s="10" t="n">
        <v>1.59</v>
      </c>
      <c r="E517" s="13" t="n">
        <f aca="false">D517-C517</f>
        <v>1.5</v>
      </c>
    </row>
    <row r="518" customFormat="false" ht="15" hidden="false" customHeight="false" outlineLevel="0" collapsed="false">
      <c r="C518" s="0" t="n">
        <f aca="false">CORREL(C2:C517,D2:D517)</f>
        <v>0.759947190112775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E519"/>
  <sheetViews>
    <sheetView showFormulas="false" showGridLines="true" showRowColHeaders="true" showZeros="true" rightToLeft="false" tabSelected="false" showOutlineSymbols="true" defaultGridColor="true" view="normal" topLeftCell="A489" colorId="64" zoomScale="100" zoomScaleNormal="100" zoomScalePageLayoutView="100" workbookViewId="0">
      <selection pane="topLeft" activeCell="E519" activeCellId="0" sqref="E519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11.14"/>
    <col collapsed="false" customWidth="true" hidden="false" outlineLevel="0" max="1025" min="3" style="0" width="8.67"/>
  </cols>
  <sheetData>
    <row r="2" customFormat="false" ht="15" hidden="false" customHeight="false" outlineLevel="0" collapsed="false">
      <c r="C2" s="0" t="s">
        <v>31</v>
      </c>
      <c r="D2" s="0" t="s">
        <v>32</v>
      </c>
      <c r="E2" s="0" t="s">
        <v>33</v>
      </c>
    </row>
    <row r="3" customFormat="false" ht="15" hidden="false" customHeight="false" outlineLevel="0" collapsed="false">
      <c r="B3" s="39" t="n">
        <v>37624</v>
      </c>
      <c r="C3" s="10" t="n">
        <v>1.75</v>
      </c>
      <c r="D3" s="10" t="n">
        <v>2.91</v>
      </c>
      <c r="E3" s="13" t="n">
        <f aca="false">D3-C3</f>
        <v>1.16</v>
      </c>
    </row>
    <row r="4" customFormat="false" ht="15" hidden="false" customHeight="false" outlineLevel="0" collapsed="false">
      <c r="B4" s="39" t="n">
        <v>37631</v>
      </c>
      <c r="C4" s="10" t="n">
        <v>1.77</v>
      </c>
      <c r="D4" s="10" t="n">
        <v>3.12</v>
      </c>
      <c r="E4" s="13" t="n">
        <f aca="false">D4-C4</f>
        <v>1.35</v>
      </c>
    </row>
    <row r="5" customFormat="false" ht="15" hidden="false" customHeight="false" outlineLevel="0" collapsed="false">
      <c r="B5" s="39" t="n">
        <v>37638</v>
      </c>
      <c r="C5" s="10" t="n">
        <v>1.7</v>
      </c>
      <c r="D5" s="10" t="n">
        <v>3.11</v>
      </c>
      <c r="E5" s="13" t="n">
        <f aca="false">D5-C5</f>
        <v>1.41</v>
      </c>
    </row>
    <row r="6" customFormat="false" ht="15" hidden="false" customHeight="false" outlineLevel="0" collapsed="false">
      <c r="B6" s="39" t="n">
        <v>37645</v>
      </c>
      <c r="C6" s="10" t="n">
        <v>1.56</v>
      </c>
      <c r="D6" s="10" t="n">
        <v>2.96</v>
      </c>
      <c r="E6" s="13" t="n">
        <f aca="false">D6-C6</f>
        <v>1.4</v>
      </c>
    </row>
    <row r="7" customFormat="false" ht="15" hidden="false" customHeight="false" outlineLevel="0" collapsed="false">
      <c r="B7" s="39" t="n">
        <v>37652</v>
      </c>
      <c r="C7" s="10" t="n">
        <v>1.53</v>
      </c>
      <c r="D7" s="10" t="n">
        <v>3.01</v>
      </c>
      <c r="E7" s="13" t="n">
        <f aca="false">D7-C7</f>
        <v>1.48</v>
      </c>
    </row>
    <row r="8" customFormat="false" ht="15" hidden="false" customHeight="false" outlineLevel="0" collapsed="false">
      <c r="B8" s="39" t="n">
        <v>37659</v>
      </c>
      <c r="C8" s="10" t="n">
        <v>1.44</v>
      </c>
      <c r="D8" s="10" t="n">
        <v>3.02</v>
      </c>
      <c r="E8" s="13" t="n">
        <f aca="false">D8-C8</f>
        <v>1.58</v>
      </c>
    </row>
    <row r="9" customFormat="false" ht="15" hidden="false" customHeight="false" outlineLevel="0" collapsed="false">
      <c r="B9" s="39" t="n">
        <v>37666</v>
      </c>
      <c r="C9" s="10" t="n">
        <v>1.33</v>
      </c>
      <c r="D9" s="10" t="n">
        <v>2.94</v>
      </c>
      <c r="E9" s="13" t="n">
        <f aca="false">D9-C9</f>
        <v>1.61</v>
      </c>
    </row>
    <row r="10" customFormat="false" ht="15" hidden="false" customHeight="false" outlineLevel="0" collapsed="false">
      <c r="B10" s="39" t="n">
        <v>37673</v>
      </c>
      <c r="C10" s="10" t="n">
        <v>1.2</v>
      </c>
      <c r="D10" s="10" t="n">
        <v>2.87</v>
      </c>
      <c r="E10" s="13" t="n">
        <f aca="false">D10-C10</f>
        <v>1.67</v>
      </c>
    </row>
    <row r="11" customFormat="false" ht="15" hidden="false" customHeight="false" outlineLevel="0" collapsed="false">
      <c r="B11" s="39" t="n">
        <v>37680</v>
      </c>
      <c r="C11" s="10" t="n">
        <v>0.99</v>
      </c>
      <c r="D11" s="10" t="n">
        <v>2.76</v>
      </c>
      <c r="E11" s="13" t="n">
        <f aca="false">D11-C11</f>
        <v>1.77</v>
      </c>
    </row>
    <row r="12" customFormat="false" ht="15" hidden="false" customHeight="false" outlineLevel="0" collapsed="false">
      <c r="B12" s="39" t="n">
        <v>37687</v>
      </c>
      <c r="C12" s="10" t="n">
        <v>0.89</v>
      </c>
      <c r="D12" s="10" t="n">
        <v>2.61</v>
      </c>
      <c r="E12" s="13" t="n">
        <f aca="false">D12-C12</f>
        <v>1.72</v>
      </c>
    </row>
    <row r="13" customFormat="false" ht="15" hidden="false" customHeight="false" outlineLevel="0" collapsed="false">
      <c r="B13" s="39" t="n">
        <v>37694</v>
      </c>
      <c r="C13" s="10" t="n">
        <v>0.88</v>
      </c>
      <c r="D13" s="10" t="n">
        <v>2.62</v>
      </c>
      <c r="E13" s="13" t="n">
        <f aca="false">D13-C13</f>
        <v>1.74</v>
      </c>
    </row>
    <row r="14" customFormat="false" ht="15" hidden="false" customHeight="false" outlineLevel="0" collapsed="false">
      <c r="B14" s="39" t="n">
        <v>37701</v>
      </c>
      <c r="C14" s="10" t="n">
        <v>1.32</v>
      </c>
      <c r="D14" s="10" t="n">
        <v>2.97</v>
      </c>
      <c r="E14" s="13" t="n">
        <f aca="false">D14-C14</f>
        <v>1.65</v>
      </c>
    </row>
    <row r="15" customFormat="false" ht="15" hidden="false" customHeight="false" outlineLevel="0" collapsed="false">
      <c r="B15" s="39" t="n">
        <v>37708</v>
      </c>
      <c r="C15" s="10" t="n">
        <v>1.26</v>
      </c>
      <c r="D15" s="10" t="n">
        <v>2.93</v>
      </c>
      <c r="E15" s="13" t="n">
        <f aca="false">D15-C15</f>
        <v>1.67</v>
      </c>
    </row>
    <row r="16" customFormat="false" ht="15" hidden="false" customHeight="false" outlineLevel="0" collapsed="false">
      <c r="B16" s="39" t="n">
        <v>37715</v>
      </c>
      <c r="C16" s="10" t="n">
        <v>1.2</v>
      </c>
      <c r="D16" s="10" t="n">
        <v>2.84</v>
      </c>
      <c r="E16" s="13" t="n">
        <f aca="false">D16-C16</f>
        <v>1.64</v>
      </c>
    </row>
    <row r="17" customFormat="false" ht="15" hidden="false" customHeight="false" outlineLevel="0" collapsed="false">
      <c r="B17" s="39" t="n">
        <v>37722</v>
      </c>
      <c r="C17" s="10" t="n">
        <v>1.32</v>
      </c>
      <c r="D17" s="10" t="n">
        <v>2.92</v>
      </c>
      <c r="E17" s="13" t="n">
        <f aca="false">D17-C17</f>
        <v>1.6</v>
      </c>
    </row>
    <row r="18" customFormat="false" ht="15" hidden="false" customHeight="false" outlineLevel="0" collapsed="false">
      <c r="B18" s="39" t="n">
        <v>37729</v>
      </c>
      <c r="C18" s="10" t="n">
        <v>1.37</v>
      </c>
      <c r="D18" s="10" t="n">
        <v>2.98</v>
      </c>
      <c r="E18" s="13" t="n">
        <f aca="false">D18-C18</f>
        <v>1.61</v>
      </c>
    </row>
    <row r="19" customFormat="false" ht="15" hidden="false" customHeight="false" outlineLevel="0" collapsed="false">
      <c r="B19" s="39" t="n">
        <v>37736</v>
      </c>
      <c r="C19" s="10" t="n">
        <v>1.46</v>
      </c>
      <c r="D19" s="10" t="n">
        <v>2.97</v>
      </c>
      <c r="E19" s="13" t="n">
        <f aca="false">D19-C19</f>
        <v>1.51</v>
      </c>
    </row>
    <row r="20" customFormat="false" ht="15" hidden="false" customHeight="false" outlineLevel="0" collapsed="false">
      <c r="B20" s="39" t="n">
        <v>37743</v>
      </c>
      <c r="C20" s="10" t="n">
        <v>1.47</v>
      </c>
      <c r="D20" s="10" t="n">
        <v>2.88</v>
      </c>
      <c r="E20" s="13" t="n">
        <f aca="false">D20-C20</f>
        <v>1.41</v>
      </c>
    </row>
    <row r="21" customFormat="false" ht="15" hidden="false" customHeight="false" outlineLevel="0" collapsed="false">
      <c r="B21" s="39" t="n">
        <v>37750</v>
      </c>
      <c r="C21" s="10" t="n">
        <v>1.29</v>
      </c>
      <c r="D21" s="10" t="n">
        <v>2.7</v>
      </c>
      <c r="E21" s="13" t="n">
        <f aca="false">D21-C21</f>
        <v>1.41</v>
      </c>
    </row>
    <row r="22" customFormat="false" ht="15" hidden="false" customHeight="false" outlineLevel="0" collapsed="false">
      <c r="B22" s="39" t="n">
        <v>37757</v>
      </c>
      <c r="C22" s="10" t="n">
        <v>1.16</v>
      </c>
      <c r="D22" s="10" t="n">
        <v>2.52</v>
      </c>
      <c r="E22" s="13" t="n">
        <f aca="false">D22-C22</f>
        <v>1.36</v>
      </c>
    </row>
    <row r="23" customFormat="false" ht="15" hidden="false" customHeight="false" outlineLevel="0" collapsed="false">
      <c r="B23" s="39" t="n">
        <v>37764</v>
      </c>
      <c r="C23" s="10" t="n">
        <v>1.03</v>
      </c>
      <c r="D23" s="10" t="n">
        <v>2.35</v>
      </c>
      <c r="E23" s="13" t="n">
        <f aca="false">D23-C23</f>
        <v>1.32</v>
      </c>
    </row>
    <row r="24" customFormat="false" ht="15" hidden="false" customHeight="false" outlineLevel="0" collapsed="false">
      <c r="B24" s="39" t="n">
        <v>37771</v>
      </c>
      <c r="C24" s="10" t="n">
        <v>1.07</v>
      </c>
      <c r="D24" s="10" t="n">
        <v>2.32</v>
      </c>
      <c r="E24" s="13" t="n">
        <f aca="false">D24-C24</f>
        <v>1.25</v>
      </c>
    </row>
    <row r="25" customFormat="false" ht="15" hidden="false" customHeight="false" outlineLevel="0" collapsed="false">
      <c r="B25" s="39" t="n">
        <v>37778</v>
      </c>
      <c r="C25" s="10" t="n">
        <v>0.98</v>
      </c>
      <c r="D25" s="10" t="n">
        <v>2.27</v>
      </c>
      <c r="E25" s="13" t="n">
        <f aca="false">D25-C25</f>
        <v>1.29</v>
      </c>
    </row>
    <row r="26" customFormat="false" ht="15" hidden="false" customHeight="false" outlineLevel="0" collapsed="false">
      <c r="B26" s="39" t="n">
        <v>37785</v>
      </c>
      <c r="C26" s="10" t="n">
        <v>0.8</v>
      </c>
      <c r="D26" s="10" t="n">
        <v>2.13</v>
      </c>
      <c r="E26" s="13" t="n">
        <f aca="false">D26-C26</f>
        <v>1.33</v>
      </c>
    </row>
    <row r="27" customFormat="false" ht="15" hidden="false" customHeight="false" outlineLevel="0" collapsed="false">
      <c r="B27" s="39" t="n">
        <v>37792</v>
      </c>
      <c r="C27" s="10" t="n">
        <v>0.9</v>
      </c>
      <c r="D27" s="10" t="n">
        <v>2.27</v>
      </c>
      <c r="E27" s="13" t="n">
        <f aca="false">D27-C27</f>
        <v>1.37</v>
      </c>
    </row>
    <row r="28" customFormat="false" ht="15" hidden="false" customHeight="false" outlineLevel="0" collapsed="false">
      <c r="B28" s="39" t="n">
        <v>37799</v>
      </c>
      <c r="C28" s="10" t="n">
        <v>0.93</v>
      </c>
      <c r="D28" s="10" t="n">
        <v>2.36</v>
      </c>
      <c r="E28" s="13" t="n">
        <f aca="false">D28-C28</f>
        <v>1.43</v>
      </c>
    </row>
    <row r="29" customFormat="false" ht="15" hidden="false" customHeight="false" outlineLevel="0" collapsed="false">
      <c r="B29" s="39" t="n">
        <v>37806</v>
      </c>
      <c r="C29" s="10" t="n">
        <v>1.05</v>
      </c>
      <c r="D29" s="10" t="n">
        <v>2.49</v>
      </c>
      <c r="E29" s="13" t="n">
        <f aca="false">D29-C29</f>
        <v>1.44</v>
      </c>
    </row>
    <row r="30" customFormat="false" ht="15" hidden="false" customHeight="false" outlineLevel="0" collapsed="false">
      <c r="B30" s="39" t="n">
        <v>37813</v>
      </c>
      <c r="C30" s="10" t="n">
        <v>1.17</v>
      </c>
      <c r="D30" s="10" t="n">
        <v>2.6</v>
      </c>
      <c r="E30" s="13" t="n">
        <f aca="false">D30-C30</f>
        <v>1.43</v>
      </c>
    </row>
    <row r="31" customFormat="false" ht="15" hidden="false" customHeight="false" outlineLevel="0" collapsed="false">
      <c r="B31" s="39" t="n">
        <v>37820</v>
      </c>
      <c r="C31" s="10" t="n">
        <v>1.26</v>
      </c>
      <c r="D31" s="10" t="n">
        <v>2.82</v>
      </c>
      <c r="E31" s="13" t="n">
        <f aca="false">D31-C31</f>
        <v>1.56</v>
      </c>
    </row>
    <row r="32" customFormat="false" ht="15" hidden="false" customHeight="false" outlineLevel="0" collapsed="false">
      <c r="B32" s="39" t="n">
        <v>37827</v>
      </c>
      <c r="C32" s="10" t="n">
        <v>1.41</v>
      </c>
      <c r="D32" s="10" t="n">
        <v>3.08</v>
      </c>
      <c r="E32" s="13" t="n">
        <f aca="false">D32-C32</f>
        <v>1.67</v>
      </c>
    </row>
    <row r="33" customFormat="false" ht="15" hidden="false" customHeight="false" outlineLevel="0" collapsed="false">
      <c r="B33" s="39" t="n">
        <v>37834</v>
      </c>
      <c r="C33" s="10" t="n">
        <v>1.58</v>
      </c>
      <c r="D33" s="10" t="n">
        <v>3.31</v>
      </c>
      <c r="E33" s="13" t="n">
        <f aca="false">D33-C33</f>
        <v>1.73</v>
      </c>
    </row>
    <row r="34" customFormat="false" ht="15" hidden="false" customHeight="false" outlineLevel="0" collapsed="false">
      <c r="B34" s="39" t="n">
        <v>37841</v>
      </c>
      <c r="C34" s="10" t="n">
        <v>1.5</v>
      </c>
      <c r="D34" s="10" t="n">
        <v>3.24</v>
      </c>
      <c r="E34" s="13" t="n">
        <f aca="false">D34-C34</f>
        <v>1.74</v>
      </c>
    </row>
    <row r="35" customFormat="false" ht="15" hidden="false" customHeight="false" outlineLevel="0" collapsed="false">
      <c r="B35" s="39" t="n">
        <v>37848</v>
      </c>
      <c r="C35" s="10" t="n">
        <v>1.49</v>
      </c>
      <c r="D35" s="10" t="n">
        <v>3.35</v>
      </c>
      <c r="E35" s="13" t="n">
        <f aca="false">D35-C35</f>
        <v>1.86</v>
      </c>
    </row>
    <row r="36" customFormat="false" ht="15" hidden="false" customHeight="false" outlineLevel="0" collapsed="false">
      <c r="B36" s="39" t="n">
        <v>37855</v>
      </c>
      <c r="C36" s="10" t="n">
        <v>1.43</v>
      </c>
      <c r="D36" s="10" t="n">
        <v>3.39</v>
      </c>
      <c r="E36" s="13" t="n">
        <f aca="false">D36-C36</f>
        <v>1.96</v>
      </c>
    </row>
    <row r="37" customFormat="false" ht="15" hidden="false" customHeight="false" outlineLevel="0" collapsed="false">
      <c r="B37" s="39" t="n">
        <v>37862</v>
      </c>
      <c r="C37" s="10" t="n">
        <v>1.48</v>
      </c>
      <c r="D37" s="10" t="n">
        <v>3.49</v>
      </c>
      <c r="E37" s="13" t="n">
        <f aca="false">D37-C37</f>
        <v>2.01</v>
      </c>
    </row>
    <row r="38" customFormat="false" ht="15" hidden="false" customHeight="false" outlineLevel="0" collapsed="false">
      <c r="B38" s="39" t="n">
        <v>37869</v>
      </c>
      <c r="C38" s="10" t="n">
        <v>1.5</v>
      </c>
      <c r="D38" s="10" t="n">
        <v>3.51</v>
      </c>
      <c r="E38" s="13" t="n">
        <f aca="false">D38-C38</f>
        <v>2.01</v>
      </c>
    </row>
    <row r="39" customFormat="false" ht="15" hidden="false" customHeight="false" outlineLevel="0" collapsed="false">
      <c r="B39" s="39" t="n">
        <v>37876</v>
      </c>
      <c r="C39" s="10" t="n">
        <v>1.32</v>
      </c>
      <c r="D39" s="10" t="n">
        <v>3.23</v>
      </c>
      <c r="E39" s="13" t="n">
        <f aca="false">D39-C39</f>
        <v>1.91</v>
      </c>
    </row>
    <row r="40" customFormat="false" ht="15" hidden="false" customHeight="false" outlineLevel="0" collapsed="false">
      <c r="B40" s="39" t="n">
        <v>37883</v>
      </c>
      <c r="C40" s="10" t="n">
        <v>1.29</v>
      </c>
      <c r="D40" s="10" t="n">
        <v>3.1</v>
      </c>
      <c r="E40" s="13" t="n">
        <f aca="false">D40-C40</f>
        <v>1.81</v>
      </c>
    </row>
    <row r="41" customFormat="false" ht="15" hidden="false" customHeight="false" outlineLevel="0" collapsed="false">
      <c r="B41" s="39" t="n">
        <v>37890</v>
      </c>
      <c r="C41" s="10" t="n">
        <v>1.2</v>
      </c>
      <c r="D41" s="10" t="n">
        <v>3.07</v>
      </c>
      <c r="E41" s="13" t="n">
        <f aca="false">D41-C41</f>
        <v>1.87</v>
      </c>
    </row>
    <row r="42" customFormat="false" ht="15" hidden="false" customHeight="false" outlineLevel="0" collapsed="false">
      <c r="B42" s="39" t="n">
        <v>37897</v>
      </c>
      <c r="C42" s="10" t="n">
        <v>1.07</v>
      </c>
      <c r="D42" s="10" t="n">
        <v>2.94</v>
      </c>
      <c r="E42" s="13" t="n">
        <f aca="false">D42-C42</f>
        <v>1.87</v>
      </c>
    </row>
    <row r="43" customFormat="false" ht="15" hidden="false" customHeight="false" outlineLevel="0" collapsed="false">
      <c r="B43" s="39" t="n">
        <v>37904</v>
      </c>
      <c r="C43" s="10" t="n">
        <v>1.22</v>
      </c>
      <c r="D43" s="10" t="n">
        <v>3.13</v>
      </c>
      <c r="E43" s="13" t="n">
        <f aca="false">D43-C43</f>
        <v>1.91</v>
      </c>
    </row>
    <row r="44" customFormat="false" ht="15" hidden="false" customHeight="false" outlineLevel="0" collapsed="false">
      <c r="B44" s="39" t="n">
        <v>37911</v>
      </c>
      <c r="C44" s="10" t="n">
        <v>1.27</v>
      </c>
      <c r="D44" s="10" t="n">
        <v>3.32</v>
      </c>
      <c r="E44" s="13" t="n">
        <f aca="false">D44-C44</f>
        <v>2.05</v>
      </c>
    </row>
    <row r="45" customFormat="false" ht="15" hidden="false" customHeight="false" outlineLevel="0" collapsed="false">
      <c r="B45" s="39" t="n">
        <v>37918</v>
      </c>
      <c r="C45" s="10" t="n">
        <v>1.23</v>
      </c>
      <c r="D45" s="10" t="n">
        <v>3.24</v>
      </c>
      <c r="E45" s="13" t="n">
        <f aca="false">D45-C45</f>
        <v>2.01</v>
      </c>
    </row>
    <row r="46" customFormat="false" ht="15" hidden="false" customHeight="false" outlineLevel="0" collapsed="false">
      <c r="B46" s="39" t="n">
        <v>37925</v>
      </c>
      <c r="C46" s="10" t="n">
        <v>1.18</v>
      </c>
      <c r="D46" s="10" t="n">
        <v>3.22</v>
      </c>
      <c r="E46" s="13" t="n">
        <f aca="false">D46-C46</f>
        <v>2.04</v>
      </c>
    </row>
    <row r="47" customFormat="false" ht="15" hidden="false" customHeight="false" outlineLevel="0" collapsed="false">
      <c r="B47" s="39" t="n">
        <v>37932</v>
      </c>
      <c r="C47" s="10" t="n">
        <v>1.33</v>
      </c>
      <c r="D47" s="10" t="n">
        <v>3.37</v>
      </c>
      <c r="E47" s="13" t="n">
        <f aca="false">D47-C47</f>
        <v>2.04</v>
      </c>
    </row>
    <row r="48" customFormat="false" ht="15" hidden="false" customHeight="false" outlineLevel="0" collapsed="false">
      <c r="B48" s="39" t="n">
        <v>37939</v>
      </c>
      <c r="C48" s="10" t="n">
        <v>1.29</v>
      </c>
      <c r="D48" s="10" t="n">
        <v>3.36</v>
      </c>
      <c r="E48" s="13" t="n">
        <f aca="false">D48-C48</f>
        <v>2.07</v>
      </c>
    </row>
    <row r="49" customFormat="false" ht="15" hidden="false" customHeight="false" outlineLevel="0" collapsed="false">
      <c r="B49" s="39" t="n">
        <v>37946</v>
      </c>
      <c r="C49" s="10" t="n">
        <v>1.19</v>
      </c>
      <c r="D49" s="10" t="n">
        <v>3.16</v>
      </c>
      <c r="E49" s="13" t="n">
        <f aca="false">D49-C49</f>
        <v>1.97</v>
      </c>
    </row>
    <row r="50" customFormat="false" ht="15" hidden="false" customHeight="false" outlineLevel="0" collapsed="false">
      <c r="B50" s="39" t="n">
        <v>37953</v>
      </c>
      <c r="C50" s="10" t="n">
        <v>1.27</v>
      </c>
      <c r="D50" s="10" t="n">
        <v>3.27</v>
      </c>
      <c r="E50" s="13" t="n">
        <f aca="false">D50-C50</f>
        <v>2</v>
      </c>
    </row>
    <row r="51" customFormat="false" ht="15" hidden="false" customHeight="false" outlineLevel="0" collapsed="false">
      <c r="B51" s="39" t="n">
        <v>37960</v>
      </c>
      <c r="C51" s="10" t="n">
        <v>1.35</v>
      </c>
      <c r="D51" s="10" t="n">
        <v>3.4</v>
      </c>
      <c r="E51" s="13" t="n">
        <f aca="false">D51-C51</f>
        <v>2.05</v>
      </c>
    </row>
    <row r="52" customFormat="false" ht="15" hidden="false" customHeight="false" outlineLevel="0" collapsed="false">
      <c r="B52" s="39" t="n">
        <v>37967</v>
      </c>
      <c r="C52" s="10" t="n">
        <v>1.18</v>
      </c>
      <c r="D52" s="10" t="n">
        <v>3.27</v>
      </c>
      <c r="E52" s="13" t="n">
        <f aca="false">D52-C52</f>
        <v>2.09</v>
      </c>
    </row>
    <row r="53" customFormat="false" ht="15" hidden="false" customHeight="false" outlineLevel="0" collapsed="false">
      <c r="B53" s="39" t="n">
        <v>37974</v>
      </c>
      <c r="C53" s="10" t="n">
        <v>1.19</v>
      </c>
      <c r="D53" s="10" t="n">
        <v>3.2</v>
      </c>
      <c r="E53" s="13" t="n">
        <f aca="false">D53-C53</f>
        <v>2.01</v>
      </c>
    </row>
    <row r="54" customFormat="false" ht="15" hidden="false" customHeight="false" outlineLevel="0" collapsed="false">
      <c r="B54" s="39" t="n">
        <v>37981</v>
      </c>
      <c r="C54" s="10" t="n">
        <v>1.21</v>
      </c>
      <c r="D54" s="10" t="n">
        <v>3.22</v>
      </c>
      <c r="E54" s="13" t="n">
        <f aca="false">D54-C54</f>
        <v>2.01</v>
      </c>
    </row>
    <row r="55" customFormat="false" ht="15" hidden="false" customHeight="false" outlineLevel="0" collapsed="false">
      <c r="B55" s="39" t="n">
        <v>37988</v>
      </c>
      <c r="C55" s="10" t="n">
        <v>1.24</v>
      </c>
      <c r="D55" s="10" t="n">
        <v>3.28</v>
      </c>
      <c r="E55" s="13" t="n">
        <f aca="false">D55-C55</f>
        <v>2.04</v>
      </c>
    </row>
    <row r="56" customFormat="false" ht="15" hidden="false" customHeight="false" outlineLevel="0" collapsed="false">
      <c r="B56" s="39" t="n">
        <v>37995</v>
      </c>
      <c r="C56" s="10" t="n">
        <v>1.22</v>
      </c>
      <c r="D56" s="10" t="n">
        <v>3.24</v>
      </c>
      <c r="E56" s="13" t="n">
        <f aca="false">D56-C56</f>
        <v>2.02</v>
      </c>
    </row>
    <row r="57" customFormat="false" ht="15" hidden="false" customHeight="false" outlineLevel="0" collapsed="false">
      <c r="B57" s="39" t="n">
        <v>38002</v>
      </c>
      <c r="C57" s="10" t="n">
        <v>1.04</v>
      </c>
      <c r="D57" s="10" t="n">
        <v>3</v>
      </c>
      <c r="E57" s="13" t="n">
        <f aca="false">D57-C57</f>
        <v>1.96</v>
      </c>
    </row>
    <row r="58" customFormat="false" ht="15" hidden="false" customHeight="false" outlineLevel="0" collapsed="false">
      <c r="B58" s="39" t="n">
        <v>38009</v>
      </c>
      <c r="C58" s="10" t="n">
        <v>0.98</v>
      </c>
      <c r="D58" s="10" t="n">
        <v>3.02</v>
      </c>
      <c r="E58" s="13" t="n">
        <f aca="false">D58-C58</f>
        <v>2.04</v>
      </c>
    </row>
    <row r="59" customFormat="false" ht="15" hidden="false" customHeight="false" outlineLevel="0" collapsed="false">
      <c r="B59" s="39" t="n">
        <v>38016</v>
      </c>
      <c r="C59" s="10" t="n">
        <v>1.04</v>
      </c>
      <c r="D59" s="10" t="n">
        <v>3.16</v>
      </c>
      <c r="E59" s="13" t="n">
        <f aca="false">D59-C59</f>
        <v>2.12</v>
      </c>
    </row>
    <row r="60" customFormat="false" ht="15" hidden="false" customHeight="false" outlineLevel="0" collapsed="false">
      <c r="B60" s="39" t="n">
        <v>38023</v>
      </c>
      <c r="C60" s="10" t="n">
        <v>0.96</v>
      </c>
      <c r="D60" s="10" t="n">
        <v>3.16</v>
      </c>
      <c r="E60" s="13" t="n">
        <f aca="false">D60-C60</f>
        <v>2.2</v>
      </c>
    </row>
    <row r="61" customFormat="false" ht="15" hidden="false" customHeight="false" outlineLevel="0" collapsed="false">
      <c r="B61" s="39" t="n">
        <v>38030</v>
      </c>
      <c r="C61" s="10" t="n">
        <v>0.9</v>
      </c>
      <c r="D61" s="10" t="n">
        <v>3.06</v>
      </c>
      <c r="E61" s="13" t="n">
        <f aca="false">D61-C61</f>
        <v>2.16</v>
      </c>
    </row>
    <row r="62" customFormat="false" ht="15" hidden="false" customHeight="false" outlineLevel="0" collapsed="false">
      <c r="B62" s="39" t="n">
        <v>38037</v>
      </c>
      <c r="C62" s="10" t="n">
        <v>0.84</v>
      </c>
      <c r="D62" s="10" t="n">
        <v>3.04</v>
      </c>
      <c r="E62" s="13" t="n">
        <f aca="false">D62-C62</f>
        <v>2.2</v>
      </c>
    </row>
    <row r="63" customFormat="false" ht="15" hidden="false" customHeight="false" outlineLevel="0" collapsed="false">
      <c r="B63" s="39" t="n">
        <v>38044</v>
      </c>
      <c r="C63" s="10" t="n">
        <v>0.73</v>
      </c>
      <c r="D63" s="10" t="n">
        <v>3.01</v>
      </c>
      <c r="E63" s="13" t="n">
        <f aca="false">D63-C63</f>
        <v>2.28</v>
      </c>
    </row>
    <row r="64" customFormat="false" ht="15" hidden="false" customHeight="false" outlineLevel="0" collapsed="false">
      <c r="B64" s="39" t="n">
        <v>38051</v>
      </c>
      <c r="C64" s="10" t="n">
        <v>0.61</v>
      </c>
      <c r="D64" s="10" t="n">
        <v>2.98</v>
      </c>
      <c r="E64" s="13" t="n">
        <f aca="false">D64-C64</f>
        <v>2.37</v>
      </c>
    </row>
    <row r="65" customFormat="false" ht="15" hidden="false" customHeight="false" outlineLevel="0" collapsed="false">
      <c r="B65" s="39" t="n">
        <v>38058</v>
      </c>
      <c r="C65" s="10" t="n">
        <v>0.53</v>
      </c>
      <c r="D65" s="10" t="n">
        <v>2.72</v>
      </c>
      <c r="E65" s="13" t="n">
        <f aca="false">D65-C65</f>
        <v>2.19</v>
      </c>
    </row>
    <row r="66" customFormat="false" ht="15" hidden="false" customHeight="false" outlineLevel="0" collapsed="false">
      <c r="B66" s="39" t="n">
        <v>38065</v>
      </c>
      <c r="C66" s="10" t="n">
        <v>0.45</v>
      </c>
      <c r="D66" s="10" t="n">
        <v>2.7</v>
      </c>
      <c r="E66" s="13" t="n">
        <f aca="false">D66-C66</f>
        <v>2.25</v>
      </c>
    </row>
    <row r="67" customFormat="false" ht="15" hidden="false" customHeight="false" outlineLevel="0" collapsed="false">
      <c r="B67" s="39" t="n">
        <v>38072</v>
      </c>
      <c r="C67" s="10" t="n">
        <v>0.45</v>
      </c>
      <c r="D67" s="10" t="n">
        <v>2.71</v>
      </c>
      <c r="E67" s="13" t="n">
        <f aca="false">D67-C67</f>
        <v>2.26</v>
      </c>
    </row>
    <row r="68" customFormat="false" ht="15" hidden="false" customHeight="false" outlineLevel="0" collapsed="false">
      <c r="B68" s="39" t="n">
        <v>38079</v>
      </c>
      <c r="C68" s="10" t="n">
        <v>0.59</v>
      </c>
      <c r="D68" s="10" t="n">
        <v>2.91</v>
      </c>
      <c r="E68" s="13" t="n">
        <f aca="false">D68-C68</f>
        <v>2.32</v>
      </c>
    </row>
    <row r="69" customFormat="false" ht="15" hidden="false" customHeight="false" outlineLevel="0" collapsed="false">
      <c r="B69" s="39" t="n">
        <v>38086</v>
      </c>
      <c r="C69" s="10" t="n">
        <v>0.86</v>
      </c>
      <c r="D69" s="10" t="n">
        <v>3.21</v>
      </c>
      <c r="E69" s="13" t="n">
        <f aca="false">D69-C69</f>
        <v>2.35</v>
      </c>
    </row>
    <row r="70" customFormat="false" ht="15" hidden="false" customHeight="false" outlineLevel="0" collapsed="false">
      <c r="B70" s="39" t="n">
        <v>38093</v>
      </c>
      <c r="C70" s="10" t="n">
        <v>0.98</v>
      </c>
      <c r="D70" s="10" t="n">
        <v>3.38</v>
      </c>
      <c r="E70" s="13" t="n">
        <f aca="false">D70-C70</f>
        <v>2.4</v>
      </c>
    </row>
    <row r="71" customFormat="false" ht="15" hidden="false" customHeight="false" outlineLevel="0" collapsed="false">
      <c r="B71" s="39" t="n">
        <v>38100</v>
      </c>
      <c r="C71" s="10" t="n">
        <v>1.1</v>
      </c>
      <c r="D71" s="10" t="n">
        <v>3.49</v>
      </c>
      <c r="E71" s="13" t="n">
        <f aca="false">D71-C71</f>
        <v>2.39</v>
      </c>
    </row>
    <row r="72" customFormat="false" ht="15" hidden="false" customHeight="false" outlineLevel="0" collapsed="false">
      <c r="B72" s="39" t="n">
        <v>38107</v>
      </c>
      <c r="C72" s="10" t="n">
        <v>1.24</v>
      </c>
      <c r="D72" s="10" t="n">
        <v>3.6</v>
      </c>
      <c r="E72" s="13" t="n">
        <f aca="false">D72-C72</f>
        <v>2.36</v>
      </c>
    </row>
    <row r="73" customFormat="false" ht="15" hidden="false" customHeight="false" outlineLevel="0" collapsed="false">
      <c r="B73" s="39" t="n">
        <v>38114</v>
      </c>
      <c r="C73" s="10" t="n">
        <v>1.33</v>
      </c>
      <c r="D73" s="10" t="n">
        <v>3.74</v>
      </c>
      <c r="E73" s="13" t="n">
        <f aca="false">D73-C73</f>
        <v>2.41</v>
      </c>
    </row>
    <row r="74" customFormat="false" ht="15" hidden="false" customHeight="false" outlineLevel="0" collapsed="false">
      <c r="B74" s="39" t="n">
        <v>38121</v>
      </c>
      <c r="C74" s="10" t="n">
        <v>1.46</v>
      </c>
      <c r="D74" s="10" t="n">
        <v>3.96</v>
      </c>
      <c r="E74" s="13" t="n">
        <f aca="false">D74-C74</f>
        <v>2.5</v>
      </c>
    </row>
    <row r="75" customFormat="false" ht="15" hidden="false" customHeight="false" outlineLevel="0" collapsed="false">
      <c r="B75" s="39" t="n">
        <v>38128</v>
      </c>
      <c r="C75" s="10" t="n">
        <v>1.31</v>
      </c>
      <c r="D75" s="10" t="n">
        <v>3.88</v>
      </c>
      <c r="E75" s="13" t="n">
        <f aca="false">D75-C75</f>
        <v>2.57</v>
      </c>
    </row>
    <row r="76" customFormat="false" ht="15" hidden="false" customHeight="false" outlineLevel="0" collapsed="false">
      <c r="B76" s="39" t="n">
        <v>38135</v>
      </c>
      <c r="C76" s="10" t="n">
        <v>1.25</v>
      </c>
      <c r="D76" s="10" t="n">
        <v>3.83</v>
      </c>
      <c r="E76" s="13" t="n">
        <f aca="false">D76-C76</f>
        <v>2.58</v>
      </c>
    </row>
    <row r="77" customFormat="false" ht="15" hidden="false" customHeight="false" outlineLevel="0" collapsed="false">
      <c r="B77" s="39" t="n">
        <v>38142</v>
      </c>
      <c r="C77" s="10" t="n">
        <v>1.3</v>
      </c>
      <c r="D77" s="10" t="n">
        <v>3.91</v>
      </c>
      <c r="E77" s="13" t="n">
        <f aca="false">D77-C77</f>
        <v>2.61</v>
      </c>
    </row>
    <row r="78" customFormat="false" ht="15" hidden="false" customHeight="false" outlineLevel="0" collapsed="false">
      <c r="B78" s="39" t="n">
        <v>38149</v>
      </c>
      <c r="C78" s="10" t="n">
        <v>1.43</v>
      </c>
      <c r="D78" s="10" t="n">
        <v>3.98</v>
      </c>
      <c r="E78" s="13" t="n">
        <f aca="false">D78-C78</f>
        <v>2.55</v>
      </c>
    </row>
    <row r="79" customFormat="false" ht="15" hidden="false" customHeight="false" outlineLevel="0" collapsed="false">
      <c r="B79" s="39" t="n">
        <v>38156</v>
      </c>
      <c r="C79" s="10" t="n">
        <v>1.44</v>
      </c>
      <c r="D79" s="10" t="n">
        <v>3.97</v>
      </c>
      <c r="E79" s="13" t="n">
        <f aca="false">D79-C79</f>
        <v>2.53</v>
      </c>
    </row>
    <row r="80" customFormat="false" ht="15" hidden="false" customHeight="false" outlineLevel="0" collapsed="false">
      <c r="B80" s="39" t="n">
        <v>38163</v>
      </c>
      <c r="C80" s="10" t="n">
        <v>1.41</v>
      </c>
      <c r="D80" s="10" t="n">
        <v>3.89</v>
      </c>
      <c r="E80" s="13" t="n">
        <f aca="false">D80-C80</f>
        <v>2.48</v>
      </c>
    </row>
    <row r="81" customFormat="false" ht="15" hidden="false" customHeight="false" outlineLevel="0" collapsed="false">
      <c r="B81" s="39" t="n">
        <v>38170</v>
      </c>
      <c r="C81" s="10" t="n">
        <v>1.38</v>
      </c>
      <c r="D81" s="10" t="n">
        <v>3.81</v>
      </c>
      <c r="E81" s="13" t="n">
        <f aca="false">D81-C81</f>
        <v>2.43</v>
      </c>
    </row>
    <row r="82" customFormat="false" ht="15" hidden="false" customHeight="false" outlineLevel="0" collapsed="false">
      <c r="B82" s="39" t="n">
        <v>38177</v>
      </c>
      <c r="C82" s="10" t="n">
        <v>1.23</v>
      </c>
      <c r="D82" s="10" t="n">
        <v>3.65</v>
      </c>
      <c r="E82" s="13" t="n">
        <f aca="false">D82-C82</f>
        <v>2.42</v>
      </c>
    </row>
    <row r="83" customFormat="false" ht="15" hidden="false" customHeight="false" outlineLevel="0" collapsed="false">
      <c r="B83" s="39" t="n">
        <v>38184</v>
      </c>
      <c r="C83" s="10" t="n">
        <v>1.25</v>
      </c>
      <c r="D83" s="10" t="n">
        <v>3.64</v>
      </c>
      <c r="E83" s="13" t="n">
        <f aca="false">D83-C83</f>
        <v>2.39</v>
      </c>
    </row>
    <row r="84" customFormat="false" ht="15" hidden="false" customHeight="false" outlineLevel="0" collapsed="false">
      <c r="B84" s="39" t="n">
        <v>38191</v>
      </c>
      <c r="C84" s="10" t="n">
        <v>1.31</v>
      </c>
      <c r="D84" s="10" t="n">
        <v>3.67</v>
      </c>
      <c r="E84" s="13" t="n">
        <f aca="false">D84-C84</f>
        <v>2.36</v>
      </c>
    </row>
    <row r="85" customFormat="false" ht="15" hidden="false" customHeight="false" outlineLevel="0" collapsed="false">
      <c r="B85" s="39" t="n">
        <v>38198</v>
      </c>
      <c r="C85" s="10" t="n">
        <v>1.39</v>
      </c>
      <c r="D85" s="10" t="n">
        <v>3.78</v>
      </c>
      <c r="E85" s="13" t="n">
        <f aca="false">D85-C85</f>
        <v>2.39</v>
      </c>
    </row>
    <row r="86" customFormat="false" ht="15" hidden="false" customHeight="false" outlineLevel="0" collapsed="false">
      <c r="B86" s="39" t="n">
        <v>38205</v>
      </c>
      <c r="C86" s="10" t="n">
        <v>1.21</v>
      </c>
      <c r="D86" s="10" t="n">
        <v>3.61</v>
      </c>
      <c r="E86" s="13" t="n">
        <f aca="false">D86-C86</f>
        <v>2.4</v>
      </c>
    </row>
    <row r="87" customFormat="false" ht="15" hidden="false" customHeight="false" outlineLevel="0" collapsed="false">
      <c r="B87" s="39" t="n">
        <v>38212</v>
      </c>
      <c r="C87" s="10" t="n">
        <v>1.09</v>
      </c>
      <c r="D87" s="10" t="n">
        <v>3.47</v>
      </c>
      <c r="E87" s="13" t="n">
        <f aca="false">D87-C87</f>
        <v>2.38</v>
      </c>
    </row>
    <row r="88" customFormat="false" ht="15" hidden="false" customHeight="false" outlineLevel="0" collapsed="false">
      <c r="B88" s="39" t="n">
        <v>38219</v>
      </c>
      <c r="C88" s="10" t="n">
        <v>1.05</v>
      </c>
      <c r="D88" s="10" t="n">
        <v>3.41</v>
      </c>
      <c r="E88" s="13" t="n">
        <f aca="false">D88-C88</f>
        <v>2.36</v>
      </c>
    </row>
    <row r="89" customFormat="false" ht="15" hidden="false" customHeight="false" outlineLevel="0" collapsed="false">
      <c r="B89" s="39" t="n">
        <v>38226</v>
      </c>
      <c r="C89" s="10" t="n">
        <v>1.15</v>
      </c>
      <c r="D89" s="10" t="n">
        <v>3.45</v>
      </c>
      <c r="E89" s="13" t="n">
        <f aca="false">D89-C89</f>
        <v>2.3</v>
      </c>
    </row>
    <row r="90" customFormat="false" ht="15" hidden="false" customHeight="false" outlineLevel="0" collapsed="false">
      <c r="B90" s="39" t="n">
        <v>38233</v>
      </c>
      <c r="C90" s="10" t="n">
        <v>1.09</v>
      </c>
      <c r="D90" s="10" t="n">
        <v>3.39</v>
      </c>
      <c r="E90" s="13" t="n">
        <f aca="false">D90-C90</f>
        <v>2.3</v>
      </c>
    </row>
    <row r="91" customFormat="false" ht="15" hidden="false" customHeight="false" outlineLevel="0" collapsed="false">
      <c r="B91" s="39" t="n">
        <v>38240</v>
      </c>
      <c r="C91" s="10" t="n">
        <v>1.12</v>
      </c>
      <c r="D91" s="10" t="n">
        <v>3.42</v>
      </c>
      <c r="E91" s="13" t="n">
        <f aca="false">D91-C91</f>
        <v>2.3</v>
      </c>
    </row>
    <row r="92" customFormat="false" ht="15" hidden="false" customHeight="false" outlineLevel="0" collapsed="false">
      <c r="B92" s="39" t="n">
        <v>38247</v>
      </c>
      <c r="C92" s="10" t="n">
        <v>1.13</v>
      </c>
      <c r="D92" s="10" t="n">
        <v>3.35</v>
      </c>
      <c r="E92" s="13" t="n">
        <f aca="false">D92-C92</f>
        <v>2.22</v>
      </c>
    </row>
    <row r="93" customFormat="false" ht="15" hidden="false" customHeight="false" outlineLevel="0" collapsed="false">
      <c r="B93" s="39" t="n">
        <v>38254</v>
      </c>
      <c r="C93" s="10" t="n">
        <v>1.11</v>
      </c>
      <c r="D93" s="10" t="n">
        <v>3.29</v>
      </c>
      <c r="E93" s="13" t="n">
        <f aca="false">D93-C93</f>
        <v>2.18</v>
      </c>
    </row>
    <row r="94" customFormat="false" ht="15" hidden="false" customHeight="false" outlineLevel="0" collapsed="false">
      <c r="B94" s="39" t="n">
        <v>38261</v>
      </c>
      <c r="C94" s="10" t="n">
        <v>1.05</v>
      </c>
      <c r="D94" s="10" t="n">
        <v>3.35</v>
      </c>
      <c r="E94" s="13" t="n">
        <f aca="false">D94-C94</f>
        <v>2.3</v>
      </c>
    </row>
    <row r="95" customFormat="false" ht="15" hidden="false" customHeight="false" outlineLevel="0" collapsed="false">
      <c r="B95" s="39" t="n">
        <v>38268</v>
      </c>
      <c r="C95" s="10" t="n">
        <v>1.13</v>
      </c>
      <c r="D95" s="10" t="n">
        <v>3.46</v>
      </c>
      <c r="E95" s="13" t="n">
        <f aca="false">D95-C95</f>
        <v>2.33</v>
      </c>
    </row>
    <row r="96" customFormat="false" ht="15" hidden="false" customHeight="false" outlineLevel="0" collapsed="false">
      <c r="B96" s="39" t="n">
        <v>38275</v>
      </c>
      <c r="C96" s="10" t="n">
        <v>0.99</v>
      </c>
      <c r="D96" s="10" t="n">
        <v>3.31</v>
      </c>
      <c r="E96" s="13" t="n">
        <f aca="false">D96-C96</f>
        <v>2.32</v>
      </c>
    </row>
    <row r="97" customFormat="false" ht="15" hidden="false" customHeight="false" outlineLevel="0" collapsed="false">
      <c r="B97" s="39" t="n">
        <v>38282</v>
      </c>
      <c r="C97" s="10" t="n">
        <v>0.92</v>
      </c>
      <c r="D97" s="10" t="n">
        <v>3.29</v>
      </c>
      <c r="E97" s="13" t="n">
        <f aca="false">D97-C97</f>
        <v>2.37</v>
      </c>
    </row>
    <row r="98" customFormat="false" ht="15" hidden="false" customHeight="false" outlineLevel="0" collapsed="false">
      <c r="B98" s="39" t="n">
        <v>38289</v>
      </c>
      <c r="C98" s="10" t="n">
        <v>0.84</v>
      </c>
      <c r="D98" s="10" t="n">
        <v>3.3</v>
      </c>
      <c r="E98" s="13" t="n">
        <f aca="false">D98-C98</f>
        <v>2.46</v>
      </c>
    </row>
    <row r="99" customFormat="false" ht="15" hidden="false" customHeight="false" outlineLevel="0" collapsed="false">
      <c r="B99" s="39" t="n">
        <v>38296</v>
      </c>
      <c r="C99" s="10" t="n">
        <v>0.83</v>
      </c>
      <c r="D99" s="10" t="n">
        <v>3.39</v>
      </c>
      <c r="E99" s="13" t="n">
        <f aca="false">D99-C99</f>
        <v>2.56</v>
      </c>
    </row>
    <row r="100" customFormat="false" ht="15" hidden="false" customHeight="false" outlineLevel="0" collapsed="false">
      <c r="B100" s="39" t="n">
        <v>38303</v>
      </c>
      <c r="C100" s="10" t="n">
        <v>0.95</v>
      </c>
      <c r="D100" s="10" t="n">
        <v>3.53</v>
      </c>
      <c r="E100" s="13" t="n">
        <f aca="false">D100-C100</f>
        <v>2.58</v>
      </c>
    </row>
    <row r="101" customFormat="false" ht="15" hidden="false" customHeight="false" outlineLevel="0" collapsed="false">
      <c r="B101" s="39" t="n">
        <v>38310</v>
      </c>
      <c r="C101" s="10" t="n">
        <v>0.9</v>
      </c>
      <c r="D101" s="10" t="n">
        <v>3.52</v>
      </c>
      <c r="E101" s="13" t="n">
        <f aca="false">D101-C101</f>
        <v>2.62</v>
      </c>
    </row>
    <row r="102" customFormat="false" ht="15" hidden="false" customHeight="false" outlineLevel="0" collapsed="false">
      <c r="B102" s="39" t="n">
        <v>38317</v>
      </c>
      <c r="C102" s="10" t="n">
        <v>0.92</v>
      </c>
      <c r="D102" s="10" t="n">
        <v>3.6</v>
      </c>
      <c r="E102" s="13" t="n">
        <f aca="false">D102-C102</f>
        <v>2.68</v>
      </c>
    </row>
    <row r="103" customFormat="false" ht="15" hidden="false" customHeight="false" outlineLevel="0" collapsed="false">
      <c r="B103" s="39" t="n">
        <v>38324</v>
      </c>
      <c r="C103" s="10" t="n">
        <v>0.98</v>
      </c>
      <c r="D103" s="10" t="n">
        <v>3.7</v>
      </c>
      <c r="E103" s="13" t="n">
        <f aca="false">D103-C103</f>
        <v>2.72</v>
      </c>
    </row>
    <row r="104" customFormat="false" ht="15" hidden="false" customHeight="false" outlineLevel="0" collapsed="false">
      <c r="B104" s="39" t="n">
        <v>38331</v>
      </c>
      <c r="C104" s="10" t="n">
        <v>0.91</v>
      </c>
      <c r="D104" s="10" t="n">
        <v>3.56</v>
      </c>
      <c r="E104" s="13" t="n">
        <f aca="false">D104-C104</f>
        <v>2.65</v>
      </c>
    </row>
    <row r="105" customFormat="false" ht="15" hidden="false" customHeight="false" outlineLevel="0" collapsed="false">
      <c r="B105" s="39" t="n">
        <v>38338</v>
      </c>
      <c r="C105" s="10" t="n">
        <v>0.89</v>
      </c>
      <c r="D105" s="10" t="n">
        <v>3.54</v>
      </c>
      <c r="E105" s="13" t="n">
        <f aca="false">D105-C105</f>
        <v>2.65</v>
      </c>
    </row>
    <row r="106" customFormat="false" ht="15" hidden="false" customHeight="false" outlineLevel="0" collapsed="false">
      <c r="B106" s="39" t="n">
        <v>38345</v>
      </c>
      <c r="C106" s="10" t="n">
        <v>0.88</v>
      </c>
      <c r="D106" s="10" t="n">
        <v>3.58</v>
      </c>
      <c r="E106" s="13" t="n">
        <f aca="false">D106-C106</f>
        <v>2.7</v>
      </c>
    </row>
    <row r="107" customFormat="false" ht="15" hidden="false" customHeight="false" outlineLevel="0" collapsed="false">
      <c r="B107" s="39" t="n">
        <v>38352</v>
      </c>
      <c r="C107" s="10" t="n">
        <v>0.97</v>
      </c>
      <c r="D107" s="10" t="n">
        <v>3.65</v>
      </c>
      <c r="E107" s="13" t="n">
        <f aca="false">D107-C107</f>
        <v>2.68</v>
      </c>
    </row>
    <row r="108" customFormat="false" ht="15" hidden="false" customHeight="false" outlineLevel="0" collapsed="false">
      <c r="B108" s="39" t="n">
        <v>38359</v>
      </c>
      <c r="C108" s="10" t="n">
        <v>1.11</v>
      </c>
      <c r="D108" s="10" t="n">
        <v>3.71</v>
      </c>
      <c r="E108" s="13" t="n">
        <f aca="false">D108-C108</f>
        <v>2.6</v>
      </c>
    </row>
    <row r="109" customFormat="false" ht="15" hidden="false" customHeight="false" outlineLevel="0" collapsed="false">
      <c r="B109" s="39" t="n">
        <v>38366</v>
      </c>
      <c r="C109" s="10" t="n">
        <v>1.12</v>
      </c>
      <c r="D109" s="10" t="n">
        <v>3.72</v>
      </c>
      <c r="E109" s="13" t="n">
        <f aca="false">D109-C109</f>
        <v>2.6</v>
      </c>
    </row>
    <row r="110" customFormat="false" ht="15" hidden="false" customHeight="false" outlineLevel="0" collapsed="false">
      <c r="B110" s="39" t="n">
        <v>38373</v>
      </c>
      <c r="C110" s="10" t="n">
        <v>1.16</v>
      </c>
      <c r="D110" s="10" t="n">
        <v>3.7</v>
      </c>
      <c r="E110" s="13" t="n">
        <f aca="false">D110-C110</f>
        <v>2.54</v>
      </c>
    </row>
    <row r="111" customFormat="false" ht="15" hidden="false" customHeight="false" outlineLevel="0" collapsed="false">
      <c r="B111" s="39" t="n">
        <v>38380</v>
      </c>
      <c r="C111" s="10" t="n">
        <v>1.14</v>
      </c>
      <c r="D111" s="10" t="n">
        <v>3.71</v>
      </c>
      <c r="E111" s="13" t="n">
        <f aca="false">D111-C111</f>
        <v>2.57</v>
      </c>
    </row>
    <row r="112" customFormat="false" ht="15" hidden="false" customHeight="false" outlineLevel="0" collapsed="false">
      <c r="B112" s="39" t="n">
        <v>38387</v>
      </c>
      <c r="C112" s="10" t="n">
        <v>1.15</v>
      </c>
      <c r="D112" s="10" t="n">
        <v>3.72</v>
      </c>
      <c r="E112" s="13" t="n">
        <f aca="false">D112-C112</f>
        <v>2.57</v>
      </c>
    </row>
    <row r="113" customFormat="false" ht="15" hidden="false" customHeight="false" outlineLevel="0" collapsed="false">
      <c r="B113" s="39" t="n">
        <v>38394</v>
      </c>
      <c r="C113" s="10" t="n">
        <v>1.02</v>
      </c>
      <c r="D113" s="10" t="n">
        <v>3.66</v>
      </c>
      <c r="E113" s="13" t="n">
        <f aca="false">D113-C113</f>
        <v>2.64</v>
      </c>
    </row>
    <row r="114" customFormat="false" ht="15" hidden="false" customHeight="false" outlineLevel="0" collapsed="false">
      <c r="B114" s="39" t="n">
        <v>38401</v>
      </c>
      <c r="C114" s="10" t="n">
        <v>1.06</v>
      </c>
      <c r="D114" s="10" t="n">
        <v>3.77</v>
      </c>
      <c r="E114" s="13" t="n">
        <f aca="false">D114-C114</f>
        <v>2.71</v>
      </c>
    </row>
    <row r="115" customFormat="false" ht="15" hidden="false" customHeight="false" outlineLevel="0" collapsed="false">
      <c r="B115" s="39" t="n">
        <v>38408</v>
      </c>
      <c r="C115" s="10" t="n">
        <v>1.09</v>
      </c>
      <c r="D115" s="10" t="n">
        <v>3.89</v>
      </c>
      <c r="E115" s="13" t="n">
        <f aca="false">D115-C115</f>
        <v>2.8</v>
      </c>
    </row>
    <row r="116" customFormat="false" ht="15" hidden="false" customHeight="false" outlineLevel="0" collapsed="false">
      <c r="B116" s="39" t="n">
        <v>38415</v>
      </c>
      <c r="C116" s="10" t="n">
        <v>1.15</v>
      </c>
      <c r="D116" s="10" t="n">
        <v>4</v>
      </c>
      <c r="E116" s="13" t="n">
        <f aca="false">D116-C116</f>
        <v>2.85</v>
      </c>
    </row>
    <row r="117" customFormat="false" ht="15" hidden="false" customHeight="false" outlineLevel="0" collapsed="false">
      <c r="B117" s="39" t="n">
        <v>38422</v>
      </c>
      <c r="C117" s="10" t="n">
        <v>1.22</v>
      </c>
      <c r="D117" s="10" t="n">
        <v>4.11</v>
      </c>
      <c r="E117" s="13" t="n">
        <f aca="false">D117-C117</f>
        <v>2.89</v>
      </c>
    </row>
    <row r="118" customFormat="false" ht="15" hidden="false" customHeight="false" outlineLevel="0" collapsed="false">
      <c r="B118" s="39" t="n">
        <v>38429</v>
      </c>
      <c r="C118" s="10" t="n">
        <v>1.29</v>
      </c>
      <c r="D118" s="10" t="n">
        <v>4.18</v>
      </c>
      <c r="E118" s="13" t="n">
        <f aca="false">D118-C118</f>
        <v>2.89</v>
      </c>
    </row>
    <row r="119" customFormat="false" ht="15" hidden="false" customHeight="false" outlineLevel="0" collapsed="false">
      <c r="B119" s="39" t="n">
        <v>38436</v>
      </c>
      <c r="C119" s="10" t="n">
        <v>1.39</v>
      </c>
      <c r="D119" s="10" t="n">
        <v>4.27</v>
      </c>
      <c r="E119" s="13" t="n">
        <f aca="false">D119-C119</f>
        <v>2.88</v>
      </c>
    </row>
    <row r="120" customFormat="false" ht="15" hidden="false" customHeight="false" outlineLevel="0" collapsed="false">
      <c r="B120" s="39" t="n">
        <v>38443</v>
      </c>
      <c r="C120" s="10" t="n">
        <v>1.39</v>
      </c>
      <c r="D120" s="10" t="n">
        <v>4.24</v>
      </c>
      <c r="E120" s="13" t="n">
        <f aca="false">D120-C120</f>
        <v>2.85</v>
      </c>
    </row>
    <row r="121" customFormat="false" ht="15" hidden="false" customHeight="false" outlineLevel="0" collapsed="false">
      <c r="B121" s="39" t="n">
        <v>38450</v>
      </c>
      <c r="C121" s="10" t="n">
        <v>1.33</v>
      </c>
      <c r="D121" s="10" t="n">
        <v>4.13</v>
      </c>
      <c r="E121" s="13" t="n">
        <f aca="false">D121-C121</f>
        <v>2.8</v>
      </c>
    </row>
    <row r="122" customFormat="false" ht="15" hidden="false" customHeight="false" outlineLevel="0" collapsed="false">
      <c r="B122" s="39" t="n">
        <v>38457</v>
      </c>
      <c r="C122" s="10" t="n">
        <v>1.28</v>
      </c>
      <c r="D122" s="10" t="n">
        <v>4.02</v>
      </c>
      <c r="E122" s="13" t="n">
        <f aca="false">D122-C122</f>
        <v>2.74</v>
      </c>
    </row>
    <row r="123" customFormat="false" ht="15" hidden="false" customHeight="false" outlineLevel="0" collapsed="false">
      <c r="B123" s="39" t="n">
        <v>38464</v>
      </c>
      <c r="C123" s="10" t="n">
        <v>1.14</v>
      </c>
      <c r="D123" s="10" t="n">
        <v>3.9</v>
      </c>
      <c r="E123" s="13" t="n">
        <f aca="false">D123-C123</f>
        <v>2.76</v>
      </c>
    </row>
    <row r="124" customFormat="false" ht="15" hidden="false" customHeight="false" outlineLevel="0" collapsed="false">
      <c r="B124" s="39" t="n">
        <v>38471</v>
      </c>
      <c r="C124" s="10" t="n">
        <v>1.15</v>
      </c>
      <c r="D124" s="10" t="n">
        <v>3.91</v>
      </c>
      <c r="E124" s="13" t="n">
        <f aca="false">D124-C124</f>
        <v>2.76</v>
      </c>
    </row>
    <row r="125" customFormat="false" ht="15" hidden="false" customHeight="false" outlineLevel="0" collapsed="false">
      <c r="B125" s="39" t="n">
        <v>38478</v>
      </c>
      <c r="C125" s="10" t="n">
        <v>1.22</v>
      </c>
      <c r="D125" s="10" t="n">
        <v>3.88</v>
      </c>
      <c r="E125" s="13" t="n">
        <f aca="false">D125-C125</f>
        <v>2.66</v>
      </c>
    </row>
    <row r="126" customFormat="false" ht="15" hidden="false" customHeight="false" outlineLevel="0" collapsed="false">
      <c r="B126" s="39" t="n">
        <v>38485</v>
      </c>
      <c r="C126" s="10" t="n">
        <v>1.27</v>
      </c>
      <c r="D126" s="10" t="n">
        <v>3.91</v>
      </c>
      <c r="E126" s="13" t="n">
        <f aca="false">D126-C126</f>
        <v>2.64</v>
      </c>
    </row>
    <row r="127" customFormat="false" ht="15" hidden="false" customHeight="false" outlineLevel="0" collapsed="false">
      <c r="B127" s="39" t="n">
        <v>38492</v>
      </c>
      <c r="C127" s="10" t="n">
        <v>1.31</v>
      </c>
      <c r="D127" s="10" t="n">
        <v>3.83</v>
      </c>
      <c r="E127" s="13" t="n">
        <f aca="false">D127-C127</f>
        <v>2.52</v>
      </c>
    </row>
    <row r="128" customFormat="false" ht="15" hidden="false" customHeight="false" outlineLevel="0" collapsed="false">
      <c r="B128" s="39" t="n">
        <v>38499</v>
      </c>
      <c r="C128" s="10" t="n">
        <v>1.32</v>
      </c>
      <c r="D128" s="10" t="n">
        <v>3.81</v>
      </c>
      <c r="E128" s="13" t="n">
        <f aca="false">D128-C128</f>
        <v>2.49</v>
      </c>
    </row>
    <row r="129" customFormat="false" ht="15" hidden="false" customHeight="false" outlineLevel="0" collapsed="false">
      <c r="B129" s="39" t="n">
        <v>38506</v>
      </c>
      <c r="C129" s="10" t="n">
        <v>1.26</v>
      </c>
      <c r="D129" s="10" t="n">
        <v>3.69</v>
      </c>
      <c r="E129" s="13" t="n">
        <f aca="false">D129-C129</f>
        <v>2.43</v>
      </c>
    </row>
    <row r="130" customFormat="false" ht="15" hidden="false" customHeight="false" outlineLevel="0" collapsed="false">
      <c r="B130" s="39" t="n">
        <v>38513</v>
      </c>
      <c r="C130" s="10" t="n">
        <v>1.36</v>
      </c>
      <c r="D130" s="10" t="n">
        <v>3.75</v>
      </c>
      <c r="E130" s="13" t="n">
        <f aca="false">D130-C130</f>
        <v>2.39</v>
      </c>
    </row>
    <row r="131" customFormat="false" ht="15" hidden="false" customHeight="false" outlineLevel="0" collapsed="false">
      <c r="B131" s="39" t="n">
        <v>38520</v>
      </c>
      <c r="C131" s="10" t="n">
        <v>1.49</v>
      </c>
      <c r="D131" s="10" t="n">
        <v>3.88</v>
      </c>
      <c r="E131" s="13" t="n">
        <f aca="false">D131-C131</f>
        <v>2.39</v>
      </c>
    </row>
    <row r="132" customFormat="false" ht="15" hidden="false" customHeight="false" outlineLevel="0" collapsed="false">
      <c r="B132" s="39" t="n">
        <v>38527</v>
      </c>
      <c r="C132" s="10" t="n">
        <v>1.41</v>
      </c>
      <c r="D132" s="10" t="n">
        <v>3.77</v>
      </c>
      <c r="E132" s="13" t="n">
        <f aca="false">D132-C132</f>
        <v>2.36</v>
      </c>
    </row>
    <row r="133" customFormat="false" ht="15" hidden="false" customHeight="false" outlineLevel="0" collapsed="false">
      <c r="B133" s="39" t="n">
        <v>38534</v>
      </c>
      <c r="C133" s="10" t="n">
        <v>1.41</v>
      </c>
      <c r="D133" s="10" t="n">
        <v>3.76</v>
      </c>
      <c r="E133" s="13" t="n">
        <f aca="false">D133-C133</f>
        <v>2.35</v>
      </c>
    </row>
    <row r="134" customFormat="false" ht="15" hidden="false" customHeight="false" outlineLevel="0" collapsed="false">
      <c r="B134" s="39" t="n">
        <v>38541</v>
      </c>
      <c r="C134" s="10" t="n">
        <v>1.53</v>
      </c>
      <c r="D134" s="10" t="n">
        <v>3.87</v>
      </c>
      <c r="E134" s="13" t="n">
        <f aca="false">D134-C134</f>
        <v>2.34</v>
      </c>
    </row>
    <row r="135" customFormat="false" ht="15" hidden="false" customHeight="false" outlineLevel="0" collapsed="false">
      <c r="B135" s="39" t="n">
        <v>38548</v>
      </c>
      <c r="C135" s="10" t="n">
        <v>1.64</v>
      </c>
      <c r="D135" s="10" t="n">
        <v>3.95</v>
      </c>
      <c r="E135" s="13" t="n">
        <f aca="false">D135-C135</f>
        <v>2.31</v>
      </c>
    </row>
    <row r="136" customFormat="false" ht="15" hidden="false" customHeight="false" outlineLevel="0" collapsed="false">
      <c r="B136" s="39" t="n">
        <v>38555</v>
      </c>
      <c r="C136" s="10" t="n">
        <v>1.75</v>
      </c>
      <c r="D136" s="10" t="n">
        <v>4.02</v>
      </c>
      <c r="E136" s="13" t="n">
        <f aca="false">D136-C136</f>
        <v>2.27</v>
      </c>
    </row>
    <row r="137" customFormat="false" ht="15" hidden="false" customHeight="false" outlineLevel="0" collapsed="false">
      <c r="B137" s="39" t="n">
        <v>38562</v>
      </c>
      <c r="C137" s="10" t="n">
        <v>1.77</v>
      </c>
      <c r="D137" s="10" t="n">
        <v>4.07</v>
      </c>
      <c r="E137" s="13" t="n">
        <f aca="false">D137-C137</f>
        <v>2.3</v>
      </c>
    </row>
    <row r="138" customFormat="false" ht="15" hidden="false" customHeight="false" outlineLevel="0" collapsed="false">
      <c r="B138" s="39" t="n">
        <v>38569</v>
      </c>
      <c r="C138" s="10" t="n">
        <v>1.79</v>
      </c>
      <c r="D138" s="10" t="n">
        <v>4.17</v>
      </c>
      <c r="E138" s="13" t="n">
        <f aca="false">D138-C138</f>
        <v>2.38</v>
      </c>
    </row>
    <row r="139" customFormat="false" ht="15" hidden="false" customHeight="false" outlineLevel="0" collapsed="false">
      <c r="B139" s="39" t="n">
        <v>38576</v>
      </c>
      <c r="C139" s="10" t="n">
        <v>1.82</v>
      </c>
      <c r="D139" s="10" t="n">
        <v>4.21</v>
      </c>
      <c r="E139" s="13" t="n">
        <f aca="false">D139-C139</f>
        <v>2.39</v>
      </c>
    </row>
    <row r="140" customFormat="false" ht="15" hidden="false" customHeight="false" outlineLevel="0" collapsed="false">
      <c r="B140" s="39" t="n">
        <v>38583</v>
      </c>
      <c r="C140" s="10" t="n">
        <v>1.7</v>
      </c>
      <c r="D140" s="10" t="n">
        <v>4.11</v>
      </c>
      <c r="E140" s="13" t="n">
        <f aca="false">D140-C140</f>
        <v>2.41</v>
      </c>
    </row>
    <row r="141" customFormat="false" ht="15" hidden="false" customHeight="false" outlineLevel="0" collapsed="false">
      <c r="B141" s="39" t="n">
        <v>38590</v>
      </c>
      <c r="C141" s="10" t="n">
        <v>1.65</v>
      </c>
      <c r="D141" s="10" t="n">
        <v>4.07</v>
      </c>
      <c r="E141" s="13" t="n">
        <f aca="false">D141-C141</f>
        <v>2.42</v>
      </c>
    </row>
    <row r="142" customFormat="false" ht="15" hidden="false" customHeight="false" outlineLevel="0" collapsed="false">
      <c r="B142" s="39" t="n">
        <v>38597</v>
      </c>
      <c r="C142" s="10" t="n">
        <v>1.46</v>
      </c>
      <c r="D142" s="10" t="n">
        <v>3.94</v>
      </c>
      <c r="E142" s="13" t="n">
        <f aca="false">D142-C142</f>
        <v>2.48</v>
      </c>
    </row>
    <row r="143" customFormat="false" ht="15" hidden="false" customHeight="false" outlineLevel="0" collapsed="false">
      <c r="B143" s="39" t="n">
        <v>38604</v>
      </c>
      <c r="C143" s="10" t="n">
        <v>1.38</v>
      </c>
      <c r="D143" s="10" t="n">
        <v>3.93</v>
      </c>
      <c r="E143" s="13" t="n">
        <f aca="false">D143-C143</f>
        <v>2.55</v>
      </c>
    </row>
    <row r="144" customFormat="false" ht="15" hidden="false" customHeight="false" outlineLevel="0" collapsed="false">
      <c r="B144" s="39" t="n">
        <v>38611</v>
      </c>
      <c r="C144" s="10" t="n">
        <v>1.37</v>
      </c>
      <c r="D144" s="10" t="n">
        <v>3.98</v>
      </c>
      <c r="E144" s="13" t="n">
        <f aca="false">D144-C144</f>
        <v>2.61</v>
      </c>
    </row>
    <row r="145" customFormat="false" ht="15" hidden="false" customHeight="false" outlineLevel="0" collapsed="false">
      <c r="B145" s="39" t="n">
        <v>38618</v>
      </c>
      <c r="C145" s="10" t="n">
        <v>1.39</v>
      </c>
      <c r="D145" s="10" t="n">
        <v>4.03</v>
      </c>
      <c r="E145" s="13" t="n">
        <f aca="false">D145-C145</f>
        <v>2.64</v>
      </c>
    </row>
    <row r="146" customFormat="false" ht="15" hidden="false" customHeight="false" outlineLevel="0" collapsed="false">
      <c r="B146" s="39" t="n">
        <v>38625</v>
      </c>
      <c r="C146" s="10" t="n">
        <v>1.46</v>
      </c>
      <c r="D146" s="10" t="n">
        <v>4.13</v>
      </c>
      <c r="E146" s="13" t="n">
        <f aca="false">D146-C146</f>
        <v>2.67</v>
      </c>
    </row>
    <row r="147" customFormat="false" ht="15" hidden="false" customHeight="false" outlineLevel="0" collapsed="false">
      <c r="B147" s="39" t="n">
        <v>38632</v>
      </c>
      <c r="C147" s="10" t="n">
        <v>1.59</v>
      </c>
      <c r="D147" s="10" t="n">
        <v>4.24</v>
      </c>
      <c r="E147" s="13" t="n">
        <f aca="false">D147-C147</f>
        <v>2.65</v>
      </c>
    </row>
    <row r="148" customFormat="false" ht="15" hidden="false" customHeight="false" outlineLevel="0" collapsed="false">
      <c r="B148" s="39" t="n">
        <v>38639</v>
      </c>
      <c r="C148" s="10" t="n">
        <v>1.71</v>
      </c>
      <c r="D148" s="10" t="n">
        <v>4.31</v>
      </c>
      <c r="E148" s="13" t="n">
        <f aca="false">D148-C148</f>
        <v>2.6</v>
      </c>
    </row>
    <row r="149" customFormat="false" ht="15" hidden="false" customHeight="false" outlineLevel="0" collapsed="false">
      <c r="B149" s="39" t="n">
        <v>38646</v>
      </c>
      <c r="C149" s="10" t="n">
        <v>1.67</v>
      </c>
      <c r="D149" s="10" t="n">
        <v>4.32</v>
      </c>
      <c r="E149" s="13" t="n">
        <f aca="false">D149-C149</f>
        <v>2.65</v>
      </c>
    </row>
    <row r="150" customFormat="false" ht="15" hidden="false" customHeight="false" outlineLevel="0" collapsed="false">
      <c r="B150" s="39" t="n">
        <v>38653</v>
      </c>
      <c r="C150" s="10" t="n">
        <v>1.8</v>
      </c>
      <c r="D150" s="10" t="n">
        <v>4.42</v>
      </c>
      <c r="E150" s="13" t="n">
        <f aca="false">D150-C150</f>
        <v>2.62</v>
      </c>
    </row>
    <row r="151" customFormat="false" ht="15" hidden="false" customHeight="false" outlineLevel="0" collapsed="false">
      <c r="B151" s="39" t="n">
        <v>38660</v>
      </c>
      <c r="C151" s="10" t="n">
        <v>1.87</v>
      </c>
      <c r="D151" s="10" t="n">
        <v>4.51</v>
      </c>
      <c r="E151" s="13" t="n">
        <f aca="false">D151-C151</f>
        <v>2.64</v>
      </c>
    </row>
    <row r="152" customFormat="false" ht="15" hidden="false" customHeight="false" outlineLevel="0" collapsed="false">
      <c r="B152" s="39" t="n">
        <v>38667</v>
      </c>
      <c r="C152" s="10" t="n">
        <v>1.96</v>
      </c>
      <c r="D152" s="10" t="n">
        <v>4.52</v>
      </c>
      <c r="E152" s="13" t="n">
        <f aca="false">D152-C152</f>
        <v>2.56</v>
      </c>
    </row>
    <row r="153" customFormat="false" ht="15" hidden="false" customHeight="false" outlineLevel="0" collapsed="false">
      <c r="B153" s="39" t="n">
        <v>38674</v>
      </c>
      <c r="C153" s="10" t="n">
        <v>2.05</v>
      </c>
      <c r="D153" s="10" t="n">
        <v>4.46</v>
      </c>
      <c r="E153" s="13" t="n">
        <f aca="false">D153-C153</f>
        <v>2.41</v>
      </c>
    </row>
    <row r="154" customFormat="false" ht="15" hidden="false" customHeight="false" outlineLevel="0" collapsed="false">
      <c r="B154" s="39" t="n">
        <v>38681</v>
      </c>
      <c r="C154" s="10" t="n">
        <v>1.96</v>
      </c>
      <c r="D154" s="10" t="n">
        <v>4.36</v>
      </c>
      <c r="E154" s="13" t="n">
        <f aca="false">D154-C154</f>
        <v>2.4</v>
      </c>
    </row>
    <row r="155" customFormat="false" ht="15" hidden="false" customHeight="false" outlineLevel="0" collapsed="false">
      <c r="B155" s="39" t="n">
        <v>38688</v>
      </c>
      <c r="C155" s="10" t="n">
        <v>2.04</v>
      </c>
      <c r="D155" s="10" t="n">
        <v>4.41</v>
      </c>
      <c r="E155" s="13" t="n">
        <f aca="false">D155-C155</f>
        <v>2.37</v>
      </c>
    </row>
    <row r="156" customFormat="false" ht="15" hidden="false" customHeight="false" outlineLevel="0" collapsed="false">
      <c r="B156" s="39" t="n">
        <v>38695</v>
      </c>
      <c r="C156" s="10" t="n">
        <v>2.1</v>
      </c>
      <c r="D156" s="10" t="n">
        <v>4.43</v>
      </c>
      <c r="E156" s="13" t="n">
        <f aca="false">D156-C156</f>
        <v>2.33</v>
      </c>
    </row>
    <row r="157" customFormat="false" ht="15" hidden="false" customHeight="false" outlineLevel="0" collapsed="false">
      <c r="B157" s="39" t="n">
        <v>38702</v>
      </c>
      <c r="C157" s="10" t="n">
        <v>2.08</v>
      </c>
      <c r="D157" s="10" t="n">
        <v>4.4</v>
      </c>
      <c r="E157" s="13" t="n">
        <f aca="false">D157-C157</f>
        <v>2.32</v>
      </c>
    </row>
    <row r="158" customFormat="false" ht="15" hidden="false" customHeight="false" outlineLevel="0" collapsed="false">
      <c r="B158" s="39" t="n">
        <v>38709</v>
      </c>
      <c r="C158" s="10" t="n">
        <v>2.1</v>
      </c>
      <c r="D158" s="10" t="n">
        <v>4.38</v>
      </c>
      <c r="E158" s="13" t="n">
        <f aca="false">D158-C158</f>
        <v>2.28</v>
      </c>
    </row>
    <row r="159" customFormat="false" ht="15" hidden="false" customHeight="false" outlineLevel="0" collapsed="false">
      <c r="B159" s="39" t="n">
        <v>38716</v>
      </c>
      <c r="C159" s="10" t="n">
        <v>2.07</v>
      </c>
      <c r="D159" s="10" t="n">
        <v>4.33</v>
      </c>
      <c r="E159" s="13" t="n">
        <f aca="false">D159-C159</f>
        <v>2.26</v>
      </c>
    </row>
    <row r="160" customFormat="false" ht="15" hidden="false" customHeight="false" outlineLevel="0" collapsed="false">
      <c r="B160" s="39" t="n">
        <v>38723</v>
      </c>
      <c r="C160" s="10" t="n">
        <v>1.99</v>
      </c>
      <c r="D160" s="10" t="n">
        <v>4.3</v>
      </c>
      <c r="E160" s="13" t="n">
        <f aca="false">D160-C160</f>
        <v>2.31</v>
      </c>
    </row>
    <row r="161" customFormat="false" ht="15" hidden="false" customHeight="false" outlineLevel="0" collapsed="false">
      <c r="B161" s="39" t="n">
        <v>38730</v>
      </c>
      <c r="C161" s="10" t="n">
        <v>1.96</v>
      </c>
      <c r="D161" s="10" t="n">
        <v>4.34</v>
      </c>
      <c r="E161" s="13" t="n">
        <f aca="false">D161-C161</f>
        <v>2.38</v>
      </c>
    </row>
    <row r="162" customFormat="false" ht="15" hidden="false" customHeight="false" outlineLevel="0" collapsed="false">
      <c r="B162" s="39" t="n">
        <v>38737</v>
      </c>
      <c r="C162" s="10" t="n">
        <v>1.87</v>
      </c>
      <c r="D162" s="10" t="n">
        <v>4.29</v>
      </c>
      <c r="E162" s="13" t="n">
        <f aca="false">D162-C162</f>
        <v>2.42</v>
      </c>
    </row>
    <row r="163" customFormat="false" ht="15" hidden="false" customHeight="false" outlineLevel="0" collapsed="false">
      <c r="B163" s="39" t="n">
        <v>38744</v>
      </c>
      <c r="C163" s="10" t="n">
        <v>1.92</v>
      </c>
      <c r="D163" s="10" t="n">
        <v>4.38</v>
      </c>
      <c r="E163" s="13" t="n">
        <f aca="false">D163-C163</f>
        <v>2.46</v>
      </c>
    </row>
    <row r="164" customFormat="false" ht="15" hidden="false" customHeight="false" outlineLevel="0" collapsed="false">
      <c r="B164" s="39" t="n">
        <v>38751</v>
      </c>
      <c r="C164" s="10" t="n">
        <v>1.93</v>
      </c>
      <c r="D164" s="10" t="n">
        <v>4.49</v>
      </c>
      <c r="E164" s="13" t="n">
        <f aca="false">D164-C164</f>
        <v>2.56</v>
      </c>
    </row>
    <row r="165" customFormat="false" ht="15" hidden="false" customHeight="false" outlineLevel="0" collapsed="false">
      <c r="B165" s="39" t="n">
        <v>38758</v>
      </c>
      <c r="C165" s="10" t="n">
        <v>1.98</v>
      </c>
      <c r="D165" s="10" t="n">
        <v>4.54</v>
      </c>
      <c r="E165" s="13" t="n">
        <f aca="false">D165-C165</f>
        <v>2.56</v>
      </c>
    </row>
    <row r="166" customFormat="false" ht="15" hidden="false" customHeight="false" outlineLevel="0" collapsed="false">
      <c r="B166" s="39" t="n">
        <v>38765</v>
      </c>
      <c r="C166" s="10" t="n">
        <v>2.04</v>
      </c>
      <c r="D166" s="10" t="n">
        <v>4.59</v>
      </c>
      <c r="E166" s="13" t="n">
        <f aca="false">D166-C166</f>
        <v>2.55</v>
      </c>
    </row>
    <row r="167" customFormat="false" ht="15" hidden="false" customHeight="false" outlineLevel="0" collapsed="false">
      <c r="B167" s="39" t="n">
        <v>38772</v>
      </c>
      <c r="C167" s="10" t="n">
        <v>1.95</v>
      </c>
      <c r="D167" s="10" t="n">
        <v>4.61</v>
      </c>
      <c r="E167" s="13" t="n">
        <f aca="false">D167-C167</f>
        <v>2.66</v>
      </c>
    </row>
    <row r="168" customFormat="false" ht="15" hidden="false" customHeight="false" outlineLevel="0" collapsed="false">
      <c r="B168" s="39" t="n">
        <v>38779</v>
      </c>
      <c r="C168" s="10" t="n">
        <v>1.94</v>
      </c>
      <c r="D168" s="10" t="n">
        <v>4.66</v>
      </c>
      <c r="E168" s="13" t="n">
        <f aca="false">D168-C168</f>
        <v>2.72</v>
      </c>
    </row>
    <row r="169" customFormat="false" ht="15" hidden="false" customHeight="false" outlineLevel="0" collapsed="false">
      <c r="B169" s="39" t="n">
        <v>38786</v>
      </c>
      <c r="C169" s="10" t="n">
        <v>2.08</v>
      </c>
      <c r="D169" s="10" t="n">
        <v>4.76</v>
      </c>
      <c r="E169" s="13" t="n">
        <f aca="false">D169-C169</f>
        <v>2.68</v>
      </c>
    </row>
    <row r="170" customFormat="false" ht="15" hidden="false" customHeight="false" outlineLevel="0" collapsed="false">
      <c r="B170" s="39" t="n">
        <v>38793</v>
      </c>
      <c r="C170" s="10" t="n">
        <v>2.06</v>
      </c>
      <c r="D170" s="10" t="n">
        <v>4.67</v>
      </c>
      <c r="E170" s="13" t="n">
        <f aca="false">D170-C170</f>
        <v>2.61</v>
      </c>
    </row>
    <row r="171" customFormat="false" ht="15" hidden="false" customHeight="false" outlineLevel="0" collapsed="false">
      <c r="B171" s="39" t="n">
        <v>38800</v>
      </c>
      <c r="C171" s="10" t="n">
        <v>2.1</v>
      </c>
      <c r="D171" s="10" t="n">
        <v>4.67</v>
      </c>
      <c r="E171" s="13" t="n">
        <f aca="false">D171-C171</f>
        <v>2.57</v>
      </c>
    </row>
    <row r="172" customFormat="false" ht="15" hidden="false" customHeight="false" outlineLevel="0" collapsed="false">
      <c r="B172" s="39" t="n">
        <v>38807</v>
      </c>
      <c r="C172" s="10" t="n">
        <v>2.22</v>
      </c>
      <c r="D172" s="10" t="n">
        <v>4.78</v>
      </c>
      <c r="E172" s="13" t="n">
        <f aca="false">D172-C172</f>
        <v>2.56</v>
      </c>
    </row>
    <row r="173" customFormat="false" ht="15" hidden="false" customHeight="false" outlineLevel="0" collapsed="false">
      <c r="B173" s="39" t="n">
        <v>38814</v>
      </c>
      <c r="C173" s="10" t="n">
        <v>2.26</v>
      </c>
      <c r="D173" s="10" t="n">
        <v>4.84</v>
      </c>
      <c r="E173" s="13" t="n">
        <f aca="false">D173-C173</f>
        <v>2.58</v>
      </c>
    </row>
    <row r="174" customFormat="false" ht="15" hidden="false" customHeight="false" outlineLevel="0" collapsed="false">
      <c r="B174" s="39" t="n">
        <v>38821</v>
      </c>
      <c r="C174" s="10" t="n">
        <v>2.27</v>
      </c>
      <c r="D174" s="10" t="n">
        <v>4.91</v>
      </c>
      <c r="E174" s="13" t="n">
        <f aca="false">D174-C174</f>
        <v>2.64</v>
      </c>
    </row>
    <row r="175" customFormat="false" ht="15" hidden="false" customHeight="false" outlineLevel="0" collapsed="false">
      <c r="B175" s="39" t="n">
        <v>38828</v>
      </c>
      <c r="C175" s="10" t="n">
        <v>2.2</v>
      </c>
      <c r="D175" s="10" t="n">
        <v>4.91</v>
      </c>
      <c r="E175" s="13" t="n">
        <f aca="false">D175-C175</f>
        <v>2.71</v>
      </c>
    </row>
    <row r="176" customFormat="false" ht="15" hidden="false" customHeight="false" outlineLevel="0" collapsed="false">
      <c r="B176" s="39" t="n">
        <v>38835</v>
      </c>
      <c r="C176" s="10" t="n">
        <v>2.31</v>
      </c>
      <c r="D176" s="10" t="n">
        <v>4.95</v>
      </c>
      <c r="E176" s="13" t="n">
        <f aca="false">D176-C176</f>
        <v>2.64</v>
      </c>
    </row>
    <row r="177" customFormat="false" ht="15" hidden="false" customHeight="false" outlineLevel="0" collapsed="false">
      <c r="B177" s="39" t="n">
        <v>38842</v>
      </c>
      <c r="C177" s="10" t="n">
        <v>2.29</v>
      </c>
      <c r="D177" s="10" t="n">
        <v>5</v>
      </c>
      <c r="E177" s="13" t="n">
        <f aca="false">D177-C177</f>
        <v>2.71</v>
      </c>
    </row>
    <row r="178" customFormat="false" ht="15" hidden="false" customHeight="false" outlineLevel="0" collapsed="false">
      <c r="B178" s="39" t="n">
        <v>38849</v>
      </c>
      <c r="C178" s="10" t="n">
        <v>2.29</v>
      </c>
      <c r="D178" s="10" t="n">
        <v>5.03</v>
      </c>
      <c r="E178" s="13" t="n">
        <f aca="false">D178-C178</f>
        <v>2.74</v>
      </c>
    </row>
    <row r="179" customFormat="false" ht="15" hidden="false" customHeight="false" outlineLevel="0" collapsed="false">
      <c r="B179" s="39" t="n">
        <v>38856</v>
      </c>
      <c r="C179" s="10" t="n">
        <v>2.31</v>
      </c>
      <c r="D179" s="10" t="n">
        <v>5</v>
      </c>
      <c r="E179" s="13" t="n">
        <f aca="false">D179-C179</f>
        <v>2.69</v>
      </c>
    </row>
    <row r="180" customFormat="false" ht="15" hidden="false" customHeight="false" outlineLevel="0" collapsed="false">
      <c r="B180" s="39" t="n">
        <v>38863</v>
      </c>
      <c r="C180" s="10" t="n">
        <v>2.31</v>
      </c>
      <c r="D180" s="10" t="n">
        <v>4.95</v>
      </c>
      <c r="E180" s="13" t="n">
        <f aca="false">D180-C180</f>
        <v>2.64</v>
      </c>
    </row>
    <row r="181" customFormat="false" ht="15" hidden="false" customHeight="false" outlineLevel="0" collapsed="false">
      <c r="B181" s="39" t="n">
        <v>38870</v>
      </c>
      <c r="C181" s="10" t="n">
        <v>2.32</v>
      </c>
      <c r="D181" s="10" t="n">
        <v>4.99</v>
      </c>
      <c r="E181" s="13" t="n">
        <f aca="false">D181-C181</f>
        <v>2.67</v>
      </c>
    </row>
    <row r="182" customFormat="false" ht="15" hidden="false" customHeight="false" outlineLevel="0" collapsed="false">
      <c r="B182" s="39" t="n">
        <v>38877</v>
      </c>
      <c r="C182" s="10" t="n">
        <v>2.34</v>
      </c>
      <c r="D182" s="10" t="n">
        <v>4.95</v>
      </c>
      <c r="E182" s="13" t="n">
        <f aca="false">D182-C182</f>
        <v>2.61</v>
      </c>
    </row>
    <row r="183" customFormat="false" ht="15" hidden="false" customHeight="false" outlineLevel="0" collapsed="false">
      <c r="B183" s="39" t="n">
        <v>38884</v>
      </c>
      <c r="C183" s="10" t="n">
        <v>2.41</v>
      </c>
      <c r="D183" s="10" t="n">
        <v>5.02</v>
      </c>
      <c r="E183" s="13" t="n">
        <f aca="false">D183-C183</f>
        <v>2.61</v>
      </c>
    </row>
    <row r="184" customFormat="false" ht="15" hidden="false" customHeight="false" outlineLevel="0" collapsed="false">
      <c r="B184" s="39" t="n">
        <v>38891</v>
      </c>
      <c r="C184" s="10" t="n">
        <v>2.54</v>
      </c>
      <c r="D184" s="10" t="n">
        <v>5.16</v>
      </c>
      <c r="E184" s="13" t="n">
        <f aca="false">D184-C184</f>
        <v>2.62</v>
      </c>
    </row>
    <row r="185" customFormat="false" ht="15" hidden="false" customHeight="false" outlineLevel="0" collapsed="false">
      <c r="B185" s="39" t="n">
        <v>38898</v>
      </c>
      <c r="C185" s="10" t="n">
        <v>2.57</v>
      </c>
      <c r="D185" s="10" t="n">
        <v>5.18</v>
      </c>
      <c r="E185" s="13" t="n">
        <f aca="false">D185-C185</f>
        <v>2.61</v>
      </c>
    </row>
    <row r="186" customFormat="false" ht="15" hidden="false" customHeight="false" outlineLevel="0" collapsed="false">
      <c r="B186" s="39" t="n">
        <v>38905</v>
      </c>
      <c r="C186" s="10" t="n">
        <v>2.51</v>
      </c>
      <c r="D186" s="10" t="n">
        <v>5.14</v>
      </c>
      <c r="E186" s="13" t="n">
        <f aca="false">D186-C186</f>
        <v>2.63</v>
      </c>
    </row>
    <row r="187" customFormat="false" ht="15" hidden="false" customHeight="false" outlineLevel="0" collapsed="false">
      <c r="B187" s="39" t="n">
        <v>38912</v>
      </c>
      <c r="C187" s="10" t="n">
        <v>2.47</v>
      </c>
      <c r="D187" s="10" t="n">
        <v>5.06</v>
      </c>
      <c r="E187" s="13" t="n">
        <f aca="false">D187-C187</f>
        <v>2.59</v>
      </c>
    </row>
    <row r="188" customFormat="false" ht="15" hidden="false" customHeight="false" outlineLevel="0" collapsed="false">
      <c r="B188" s="39" t="n">
        <v>38919</v>
      </c>
      <c r="C188" s="10" t="n">
        <v>2.45</v>
      </c>
      <c r="D188" s="10" t="n">
        <v>5.03</v>
      </c>
      <c r="E188" s="13" t="n">
        <f aca="false">D188-C188</f>
        <v>2.58</v>
      </c>
    </row>
    <row r="189" customFormat="false" ht="15" hidden="false" customHeight="false" outlineLevel="0" collapsed="false">
      <c r="B189" s="39" t="n">
        <v>38926</v>
      </c>
      <c r="C189" s="10" t="n">
        <v>2.42</v>
      </c>
      <c r="D189" s="10" t="n">
        <v>4.98</v>
      </c>
      <c r="E189" s="13" t="n">
        <f aca="false">D189-C189</f>
        <v>2.56</v>
      </c>
    </row>
    <row r="190" customFormat="false" ht="15" hidden="false" customHeight="false" outlineLevel="0" collapsed="false">
      <c r="B190" s="39" t="n">
        <v>38933</v>
      </c>
      <c r="C190" s="10" t="n">
        <v>2.32</v>
      </c>
      <c r="D190" s="10" t="n">
        <v>4.89</v>
      </c>
      <c r="E190" s="13" t="n">
        <f aca="false">D190-C190</f>
        <v>2.57</v>
      </c>
    </row>
    <row r="191" customFormat="false" ht="15" hidden="false" customHeight="false" outlineLevel="0" collapsed="false">
      <c r="B191" s="39" t="n">
        <v>38940</v>
      </c>
      <c r="C191" s="10" t="n">
        <v>2.24</v>
      </c>
      <c r="D191" s="10" t="n">
        <v>4.87</v>
      </c>
      <c r="E191" s="13" t="n">
        <f aca="false">D191-C191</f>
        <v>2.63</v>
      </c>
    </row>
    <row r="192" customFormat="false" ht="15" hidden="false" customHeight="false" outlineLevel="0" collapsed="false">
      <c r="B192" s="39" t="n">
        <v>38947</v>
      </c>
      <c r="C192" s="10" t="n">
        <v>2.27</v>
      </c>
      <c r="D192" s="10" t="n">
        <v>4.85</v>
      </c>
      <c r="E192" s="13" t="n">
        <f aca="false">D192-C192</f>
        <v>2.58</v>
      </c>
    </row>
    <row r="193" customFormat="false" ht="15" hidden="false" customHeight="false" outlineLevel="0" collapsed="false">
      <c r="B193" s="39" t="n">
        <v>38954</v>
      </c>
      <c r="C193" s="10" t="n">
        <v>2.25</v>
      </c>
      <c r="D193" s="10" t="n">
        <v>4.77</v>
      </c>
      <c r="E193" s="13" t="n">
        <f aca="false">D193-C193</f>
        <v>2.52</v>
      </c>
    </row>
    <row r="194" customFormat="false" ht="15" hidden="false" customHeight="false" outlineLevel="0" collapsed="false">
      <c r="B194" s="39" t="n">
        <v>38961</v>
      </c>
      <c r="C194" s="10" t="n">
        <v>2.29</v>
      </c>
      <c r="D194" s="10" t="n">
        <v>4.73</v>
      </c>
      <c r="E194" s="13" t="n">
        <f aca="false">D194-C194</f>
        <v>2.44</v>
      </c>
    </row>
    <row r="195" customFormat="false" ht="15" hidden="false" customHeight="false" outlineLevel="0" collapsed="false">
      <c r="B195" s="39" t="n">
        <v>38968</v>
      </c>
      <c r="C195" s="10" t="n">
        <v>2.36</v>
      </c>
      <c r="D195" s="10" t="n">
        <v>4.73</v>
      </c>
      <c r="E195" s="13" t="n">
        <f aca="false">D195-C195</f>
        <v>2.37</v>
      </c>
    </row>
    <row r="196" customFormat="false" ht="15" hidden="false" customHeight="false" outlineLevel="0" collapsed="false">
      <c r="B196" s="39" t="n">
        <v>38975</v>
      </c>
      <c r="C196" s="10" t="n">
        <v>2.41</v>
      </c>
      <c r="D196" s="10" t="n">
        <v>4.73</v>
      </c>
      <c r="E196" s="13" t="n">
        <f aca="false">D196-C196</f>
        <v>2.32</v>
      </c>
    </row>
    <row r="197" customFormat="false" ht="15" hidden="false" customHeight="false" outlineLevel="0" collapsed="false">
      <c r="B197" s="39" t="n">
        <v>38982</v>
      </c>
      <c r="C197" s="10" t="n">
        <v>2.42</v>
      </c>
      <c r="D197" s="10" t="n">
        <v>4.66</v>
      </c>
      <c r="E197" s="13" t="n">
        <f aca="false">D197-C197</f>
        <v>2.24</v>
      </c>
    </row>
    <row r="198" customFormat="false" ht="15" hidden="false" customHeight="false" outlineLevel="0" collapsed="false">
      <c r="B198" s="39" t="n">
        <v>38989</v>
      </c>
      <c r="C198" s="10" t="n">
        <v>2.33</v>
      </c>
      <c r="D198" s="10" t="n">
        <v>4.56</v>
      </c>
      <c r="E198" s="13" t="n">
        <f aca="false">D198-C198</f>
        <v>2.23</v>
      </c>
    </row>
    <row r="199" customFormat="false" ht="15" hidden="false" customHeight="false" outlineLevel="0" collapsed="false">
      <c r="B199" s="39" t="n">
        <v>38996</v>
      </c>
      <c r="C199" s="10" t="n">
        <v>2.37</v>
      </c>
      <c r="D199" s="10" t="n">
        <v>4.56</v>
      </c>
      <c r="E199" s="13" t="n">
        <f aca="false">D199-C199</f>
        <v>2.19</v>
      </c>
    </row>
    <row r="200" customFormat="false" ht="15" hidden="false" customHeight="false" outlineLevel="0" collapsed="false">
      <c r="B200" s="39" t="n">
        <v>39003</v>
      </c>
      <c r="C200" s="10" t="n">
        <v>2.54</v>
      </c>
      <c r="D200" s="10" t="n">
        <v>4.74</v>
      </c>
      <c r="E200" s="13" t="n">
        <f aca="false">D200-C200</f>
        <v>2.2</v>
      </c>
    </row>
    <row r="201" customFormat="false" ht="15" hidden="false" customHeight="false" outlineLevel="0" collapsed="false">
      <c r="B201" s="39" t="n">
        <v>39010</v>
      </c>
      <c r="C201" s="10" t="n">
        <v>2.58</v>
      </c>
      <c r="D201" s="10" t="n">
        <v>4.75</v>
      </c>
      <c r="E201" s="13" t="n">
        <f aca="false">D201-C201</f>
        <v>2.17</v>
      </c>
    </row>
    <row r="202" customFormat="false" ht="15" hidden="false" customHeight="false" outlineLevel="0" collapsed="false">
      <c r="B202" s="39" t="n">
        <v>39017</v>
      </c>
      <c r="C202" s="10" t="n">
        <v>2.57</v>
      </c>
      <c r="D202" s="10" t="n">
        <v>4.74</v>
      </c>
      <c r="E202" s="13" t="n">
        <f aca="false">D202-C202</f>
        <v>2.17</v>
      </c>
    </row>
    <row r="203" customFormat="false" ht="15" hidden="false" customHeight="false" outlineLevel="0" collapsed="false">
      <c r="B203" s="39" t="n">
        <v>39024</v>
      </c>
      <c r="C203" s="10" t="n">
        <v>2.47</v>
      </c>
      <c r="D203" s="10" t="n">
        <v>4.6</v>
      </c>
      <c r="E203" s="13" t="n">
        <f aca="false">D203-C203</f>
        <v>2.13</v>
      </c>
    </row>
    <row r="204" customFormat="false" ht="15" hidden="false" customHeight="false" outlineLevel="0" collapsed="false">
      <c r="B204" s="39" t="n">
        <v>39031</v>
      </c>
      <c r="C204" s="10" t="n">
        <v>2.42</v>
      </c>
      <c r="D204" s="10" t="n">
        <v>4.62</v>
      </c>
      <c r="E204" s="13" t="n">
        <f aca="false">D204-C204</f>
        <v>2.2</v>
      </c>
    </row>
    <row r="205" customFormat="false" ht="15" hidden="false" customHeight="false" outlineLevel="0" collapsed="false">
      <c r="B205" s="39" t="n">
        <v>39038</v>
      </c>
      <c r="C205" s="10" t="n">
        <v>2.46</v>
      </c>
      <c r="D205" s="10" t="n">
        <v>4.61</v>
      </c>
      <c r="E205" s="13" t="n">
        <f aca="false">D205-C205</f>
        <v>2.15</v>
      </c>
    </row>
    <row r="206" customFormat="false" ht="15" hidden="false" customHeight="false" outlineLevel="0" collapsed="false">
      <c r="B206" s="39" t="n">
        <v>39045</v>
      </c>
      <c r="C206" s="10" t="n">
        <v>2.43</v>
      </c>
      <c r="D206" s="10" t="n">
        <v>4.58</v>
      </c>
      <c r="E206" s="13" t="n">
        <f aca="false">D206-C206</f>
        <v>2.15</v>
      </c>
    </row>
    <row r="207" customFormat="false" ht="15" hidden="false" customHeight="false" outlineLevel="0" collapsed="false">
      <c r="B207" s="39" t="n">
        <v>39052</v>
      </c>
      <c r="C207" s="10" t="n">
        <v>2.24</v>
      </c>
      <c r="D207" s="10" t="n">
        <v>4.48</v>
      </c>
      <c r="E207" s="13" t="n">
        <f aca="false">D207-C207</f>
        <v>2.24</v>
      </c>
    </row>
    <row r="208" customFormat="false" ht="15" hidden="false" customHeight="false" outlineLevel="0" collapsed="false">
      <c r="B208" s="39" t="n">
        <v>39059</v>
      </c>
      <c r="C208" s="10" t="n">
        <v>2.17</v>
      </c>
      <c r="D208" s="10" t="n">
        <v>4.44</v>
      </c>
      <c r="E208" s="13" t="n">
        <f aca="false">D208-C208</f>
        <v>2.27</v>
      </c>
    </row>
    <row r="209" customFormat="false" ht="15" hidden="false" customHeight="false" outlineLevel="0" collapsed="false">
      <c r="B209" s="39" t="n">
        <v>39066</v>
      </c>
      <c r="C209" s="10" t="n">
        <v>2.25</v>
      </c>
      <c r="D209" s="10" t="n">
        <v>4.53</v>
      </c>
      <c r="E209" s="13" t="n">
        <f aca="false">D209-C209</f>
        <v>2.28</v>
      </c>
    </row>
    <row r="210" customFormat="false" ht="15" hidden="false" customHeight="false" outlineLevel="0" collapsed="false">
      <c r="B210" s="39" t="n">
        <v>39073</v>
      </c>
      <c r="C210" s="10" t="n">
        <v>2.35</v>
      </c>
      <c r="D210" s="10" t="n">
        <v>4.56</v>
      </c>
      <c r="E210" s="13" t="n">
        <f aca="false">D210-C210</f>
        <v>2.21</v>
      </c>
    </row>
    <row r="211" customFormat="false" ht="15" hidden="false" customHeight="false" outlineLevel="0" collapsed="false">
      <c r="B211" s="39" t="n">
        <v>39080</v>
      </c>
      <c r="C211" s="10" t="n">
        <v>2.43</v>
      </c>
      <c r="D211" s="10" t="n">
        <v>4.65</v>
      </c>
      <c r="E211" s="13" t="n">
        <f aca="false">D211-C211</f>
        <v>2.22</v>
      </c>
    </row>
    <row r="212" customFormat="false" ht="15" hidden="false" customHeight="false" outlineLevel="0" collapsed="false">
      <c r="B212" s="39" t="n">
        <v>39087</v>
      </c>
      <c r="C212" s="10" t="n">
        <v>2.4</v>
      </c>
      <c r="D212" s="10" t="n">
        <v>4.65</v>
      </c>
      <c r="E212" s="13" t="n">
        <f aca="false">D212-C212</f>
        <v>2.25</v>
      </c>
    </row>
    <row r="213" customFormat="false" ht="15" hidden="false" customHeight="false" outlineLevel="0" collapsed="false">
      <c r="B213" s="39" t="n">
        <v>39094</v>
      </c>
      <c r="C213" s="10" t="n">
        <v>2.47</v>
      </c>
      <c r="D213" s="10" t="n">
        <v>4.7</v>
      </c>
      <c r="E213" s="13" t="n">
        <f aca="false">D213-C213</f>
        <v>2.23</v>
      </c>
    </row>
    <row r="214" customFormat="false" ht="15" hidden="false" customHeight="false" outlineLevel="0" collapsed="false">
      <c r="B214" s="39" t="n">
        <v>39101</v>
      </c>
      <c r="C214" s="10" t="n">
        <v>2.53</v>
      </c>
      <c r="D214" s="10" t="n">
        <v>4.76</v>
      </c>
      <c r="E214" s="13" t="n">
        <f aca="false">D214-C214</f>
        <v>2.23</v>
      </c>
    </row>
    <row r="215" customFormat="false" ht="15" hidden="false" customHeight="false" outlineLevel="0" collapsed="false">
      <c r="B215" s="39" t="n">
        <v>39108</v>
      </c>
      <c r="C215" s="10" t="n">
        <v>2.5</v>
      </c>
      <c r="D215" s="10" t="n">
        <v>4.82</v>
      </c>
      <c r="E215" s="13" t="n">
        <f aca="false">D215-C215</f>
        <v>2.32</v>
      </c>
    </row>
    <row r="216" customFormat="false" ht="15" hidden="false" customHeight="false" outlineLevel="0" collapsed="false">
      <c r="B216" s="39" t="n">
        <v>39115</v>
      </c>
      <c r="C216" s="10" t="n">
        <v>2.44</v>
      </c>
      <c r="D216" s="10" t="n">
        <v>4.85</v>
      </c>
      <c r="E216" s="13" t="n">
        <f aca="false">D216-C216</f>
        <v>2.41</v>
      </c>
    </row>
    <row r="217" customFormat="false" ht="15" hidden="false" customHeight="false" outlineLevel="0" collapsed="false">
      <c r="B217" s="39" t="n">
        <v>39122</v>
      </c>
      <c r="C217" s="10" t="n">
        <v>2.39</v>
      </c>
      <c r="D217" s="10" t="n">
        <v>4.76</v>
      </c>
      <c r="E217" s="13" t="n">
        <f aca="false">D217-C217</f>
        <v>2.37</v>
      </c>
    </row>
    <row r="218" customFormat="false" ht="15" hidden="false" customHeight="false" outlineLevel="0" collapsed="false">
      <c r="B218" s="39" t="n">
        <v>39129</v>
      </c>
      <c r="C218" s="10" t="n">
        <v>2.41</v>
      </c>
      <c r="D218" s="10" t="n">
        <v>4.74</v>
      </c>
      <c r="E218" s="13" t="n">
        <f aca="false">D218-C218</f>
        <v>2.33</v>
      </c>
    </row>
    <row r="219" customFormat="false" ht="15" hidden="false" customHeight="false" outlineLevel="0" collapsed="false">
      <c r="B219" s="39" t="n">
        <v>39136</v>
      </c>
      <c r="C219" s="10" t="n">
        <v>2.32</v>
      </c>
      <c r="D219" s="10" t="n">
        <v>4.69</v>
      </c>
      <c r="E219" s="13" t="n">
        <f aca="false">D219-C219</f>
        <v>2.37</v>
      </c>
    </row>
    <row r="220" customFormat="false" ht="15" hidden="false" customHeight="false" outlineLevel="0" collapsed="false">
      <c r="B220" s="39" t="n">
        <v>39143</v>
      </c>
      <c r="C220" s="10" t="n">
        <v>2.11</v>
      </c>
      <c r="D220" s="10" t="n">
        <v>4.51</v>
      </c>
      <c r="E220" s="13" t="n">
        <f aca="false">D220-C220</f>
        <v>2.4</v>
      </c>
    </row>
    <row r="221" customFormat="false" ht="15" hidden="false" customHeight="false" outlineLevel="0" collapsed="false">
      <c r="B221" s="39" t="n">
        <v>39150</v>
      </c>
      <c r="C221" s="10" t="n">
        <v>2.08</v>
      </c>
      <c r="D221" s="10" t="n">
        <v>4.48</v>
      </c>
      <c r="E221" s="13" t="n">
        <f aca="false">D221-C221</f>
        <v>2.4</v>
      </c>
    </row>
    <row r="222" customFormat="false" ht="15" hidden="false" customHeight="false" outlineLevel="0" collapsed="false">
      <c r="B222" s="39" t="n">
        <v>39157</v>
      </c>
      <c r="C222" s="10" t="n">
        <v>2.04</v>
      </c>
      <c r="D222" s="10" t="n">
        <v>4.46</v>
      </c>
      <c r="E222" s="13" t="n">
        <f aca="false">D222-C222</f>
        <v>2.42</v>
      </c>
    </row>
    <row r="223" customFormat="false" ht="15" hidden="false" customHeight="false" outlineLevel="0" collapsed="false">
      <c r="B223" s="39" t="n">
        <v>39164</v>
      </c>
      <c r="C223" s="10" t="n">
        <v>2.02</v>
      </c>
      <c r="D223" s="10" t="n">
        <v>4.48</v>
      </c>
      <c r="E223" s="13" t="n">
        <f aca="false">D223-C223</f>
        <v>2.46</v>
      </c>
    </row>
    <row r="224" customFormat="false" ht="15" hidden="false" customHeight="false" outlineLevel="0" collapsed="false">
      <c r="B224" s="39" t="n">
        <v>39171</v>
      </c>
      <c r="C224" s="10" t="n">
        <v>2</v>
      </c>
      <c r="D224" s="10" t="n">
        <v>4.51</v>
      </c>
      <c r="E224" s="13" t="n">
        <f aca="false">D224-C224</f>
        <v>2.51</v>
      </c>
    </row>
    <row r="225" customFormat="false" ht="15" hidden="false" customHeight="false" outlineLevel="0" collapsed="false">
      <c r="B225" s="39" t="n">
        <v>39178</v>
      </c>
      <c r="C225" s="10" t="n">
        <v>2.07</v>
      </c>
      <c r="D225" s="10" t="n">
        <v>4.58</v>
      </c>
      <c r="E225" s="13" t="n">
        <f aca="false">D225-C225</f>
        <v>2.51</v>
      </c>
    </row>
    <row r="226" customFormat="false" ht="15" hidden="false" customHeight="false" outlineLevel="0" collapsed="false">
      <c r="B226" s="39" t="n">
        <v>39185</v>
      </c>
      <c r="C226" s="10" t="n">
        <v>2.14</v>
      </c>
      <c r="D226" s="10" t="n">
        <v>4.66</v>
      </c>
      <c r="E226" s="13" t="n">
        <f aca="false">D226-C226</f>
        <v>2.52</v>
      </c>
    </row>
    <row r="227" customFormat="false" ht="15" hidden="false" customHeight="false" outlineLevel="0" collapsed="false">
      <c r="B227" s="39" t="n">
        <v>39192</v>
      </c>
      <c r="C227" s="10" t="n">
        <v>2.15</v>
      </c>
      <c r="D227" s="10" t="n">
        <v>4.6</v>
      </c>
      <c r="E227" s="13" t="n">
        <f aca="false">D227-C227</f>
        <v>2.45</v>
      </c>
    </row>
    <row r="228" customFormat="false" ht="15" hidden="false" customHeight="false" outlineLevel="0" collapsed="false">
      <c r="B228" s="39" t="n">
        <v>39199</v>
      </c>
      <c r="C228" s="10" t="n">
        <v>2.11</v>
      </c>
      <c r="D228" s="10" t="n">
        <v>4.56</v>
      </c>
      <c r="E228" s="13" t="n">
        <f aca="false">D228-C228</f>
        <v>2.45</v>
      </c>
    </row>
    <row r="229" customFormat="false" ht="15" hidden="false" customHeight="false" outlineLevel="0" collapsed="false">
      <c r="B229" s="39" t="n">
        <v>39206</v>
      </c>
      <c r="C229" s="10" t="n">
        <v>2.1</v>
      </c>
      <c r="D229" s="10" t="n">
        <v>4.55</v>
      </c>
      <c r="E229" s="13" t="n">
        <f aca="false">D229-C229</f>
        <v>2.45</v>
      </c>
    </row>
    <row r="230" customFormat="false" ht="15" hidden="false" customHeight="false" outlineLevel="0" collapsed="false">
      <c r="B230" s="39" t="n">
        <v>39213</v>
      </c>
      <c r="C230" s="10" t="n">
        <v>2.18</v>
      </c>
      <c r="D230" s="10" t="n">
        <v>4.56</v>
      </c>
      <c r="E230" s="13" t="n">
        <f aca="false">D230-C230</f>
        <v>2.38</v>
      </c>
    </row>
    <row r="231" customFormat="false" ht="15" hidden="false" customHeight="false" outlineLevel="0" collapsed="false">
      <c r="B231" s="39" t="n">
        <v>39220</v>
      </c>
      <c r="C231" s="10" t="n">
        <v>2.29</v>
      </c>
      <c r="D231" s="10" t="n">
        <v>4.66</v>
      </c>
      <c r="E231" s="13" t="n">
        <f aca="false">D231-C231</f>
        <v>2.37</v>
      </c>
    </row>
    <row r="232" customFormat="false" ht="15" hidden="false" customHeight="false" outlineLevel="0" collapsed="false">
      <c r="B232" s="39" t="n">
        <v>39227</v>
      </c>
      <c r="C232" s="10" t="n">
        <v>2.42</v>
      </c>
      <c r="D232" s="10" t="n">
        <v>4.77</v>
      </c>
      <c r="E232" s="13" t="n">
        <f aca="false">D232-C232</f>
        <v>2.35</v>
      </c>
    </row>
    <row r="233" customFormat="false" ht="15" hidden="false" customHeight="false" outlineLevel="0" collapsed="false">
      <c r="B233" s="39" t="n">
        <v>39234</v>
      </c>
      <c r="C233" s="10" t="n">
        <v>2.53</v>
      </c>
      <c r="D233" s="10" t="n">
        <v>4.86</v>
      </c>
      <c r="E233" s="13" t="n">
        <f aca="false">D233-C233</f>
        <v>2.33</v>
      </c>
    </row>
    <row r="234" customFormat="false" ht="15" hidden="false" customHeight="false" outlineLevel="0" collapsed="false">
      <c r="B234" s="39" t="n">
        <v>39241</v>
      </c>
      <c r="C234" s="10" t="n">
        <v>2.62</v>
      </c>
      <c r="D234" s="10" t="n">
        <v>4.98</v>
      </c>
      <c r="E234" s="13" t="n">
        <f aca="false">D234-C234</f>
        <v>2.36</v>
      </c>
    </row>
    <row r="235" customFormat="false" ht="15" hidden="false" customHeight="false" outlineLevel="0" collapsed="false">
      <c r="B235" s="39" t="n">
        <v>39248</v>
      </c>
      <c r="C235" s="10" t="n">
        <v>2.73</v>
      </c>
      <c r="D235" s="10" t="n">
        <v>5.13</v>
      </c>
      <c r="E235" s="13" t="n">
        <f aca="false">D235-C235</f>
        <v>2.4</v>
      </c>
    </row>
    <row r="236" customFormat="false" ht="15" hidden="false" customHeight="false" outlineLevel="0" collapsed="false">
      <c r="B236" s="39" t="n">
        <v>39255</v>
      </c>
      <c r="C236" s="10" t="n">
        <v>2.66</v>
      </c>
      <c r="D236" s="10" t="n">
        <v>5.04</v>
      </c>
      <c r="E236" s="13" t="n">
        <f aca="false">D236-C236</f>
        <v>2.38</v>
      </c>
    </row>
    <row r="237" customFormat="false" ht="15" hidden="false" customHeight="false" outlineLevel="0" collapsed="false">
      <c r="B237" s="39" t="n">
        <v>39262</v>
      </c>
      <c r="C237" s="10" t="n">
        <v>2.63</v>
      </c>
      <c r="D237" s="10" t="n">
        <v>4.97</v>
      </c>
      <c r="E237" s="13" t="n">
        <f aca="false">D237-C237</f>
        <v>2.34</v>
      </c>
    </row>
    <row r="238" customFormat="false" ht="15" hidden="false" customHeight="false" outlineLevel="0" collapsed="false">
      <c r="B238" s="39" t="n">
        <v>39269</v>
      </c>
      <c r="C238" s="10" t="n">
        <v>2.65</v>
      </c>
      <c r="D238" s="10" t="n">
        <v>5</v>
      </c>
      <c r="E238" s="13" t="n">
        <f aca="false">D238-C238</f>
        <v>2.35</v>
      </c>
    </row>
    <row r="239" customFormat="false" ht="15" hidden="false" customHeight="false" outlineLevel="0" collapsed="false">
      <c r="B239" s="39" t="n">
        <v>39276</v>
      </c>
      <c r="C239" s="10" t="n">
        <v>2.64</v>
      </c>
      <c r="D239" s="10" t="n">
        <v>5</v>
      </c>
      <c r="E239" s="13" t="n">
        <f aca="false">D239-C239</f>
        <v>2.36</v>
      </c>
    </row>
    <row r="240" customFormat="false" ht="15" hidden="false" customHeight="false" outlineLevel="0" collapsed="false">
      <c r="B240" s="39" t="n">
        <v>39283</v>
      </c>
      <c r="C240" s="10" t="n">
        <v>2.64</v>
      </c>
      <c r="D240" s="10" t="n">
        <v>4.93</v>
      </c>
      <c r="E240" s="13" t="n">
        <f aca="false">D240-C240</f>
        <v>2.29</v>
      </c>
    </row>
    <row r="241" customFormat="false" ht="15" hidden="false" customHeight="false" outlineLevel="0" collapsed="false">
      <c r="B241" s="39" t="n">
        <v>39290</v>
      </c>
      <c r="C241" s="10" t="n">
        <v>2.53</v>
      </c>
      <c r="D241" s="10" t="n">
        <v>4.74</v>
      </c>
      <c r="E241" s="13" t="n">
        <f aca="false">D241-C241</f>
        <v>2.21</v>
      </c>
    </row>
    <row r="242" customFormat="false" ht="15" hidden="false" customHeight="false" outlineLevel="0" collapsed="false">
      <c r="B242" s="39" t="n">
        <v>39297</v>
      </c>
      <c r="C242" s="10" t="n">
        <v>2.44</v>
      </c>
      <c r="D242" s="10" t="n">
        <v>4.6</v>
      </c>
      <c r="E242" s="13" t="n">
        <f aca="false">D242-C242</f>
        <v>2.16</v>
      </c>
    </row>
    <row r="243" customFormat="false" ht="15" hidden="false" customHeight="false" outlineLevel="0" collapsed="false">
      <c r="B243" s="39" t="n">
        <v>39304</v>
      </c>
      <c r="C243" s="10" t="n">
        <v>2.51</v>
      </c>
      <c r="D243" s="10" t="n">
        <v>4.6</v>
      </c>
      <c r="E243" s="13" t="n">
        <f aca="false">D243-C243</f>
        <v>2.09</v>
      </c>
    </row>
    <row r="244" customFormat="false" ht="15" hidden="false" customHeight="false" outlineLevel="0" collapsed="false">
      <c r="B244" s="39" t="n">
        <v>39311</v>
      </c>
      <c r="C244" s="10" t="n">
        <v>2.38</v>
      </c>
      <c r="D244" s="10" t="n">
        <v>4.42</v>
      </c>
      <c r="E244" s="13" t="n">
        <f aca="false">D244-C244</f>
        <v>2.04</v>
      </c>
    </row>
    <row r="245" customFormat="false" ht="15" hidden="false" customHeight="false" outlineLevel="0" collapsed="false">
      <c r="B245" s="39" t="n">
        <v>39318</v>
      </c>
      <c r="C245" s="10" t="n">
        <v>2.33</v>
      </c>
      <c r="D245" s="10" t="n">
        <v>4.34</v>
      </c>
      <c r="E245" s="13" t="n">
        <f aca="false">D245-C245</f>
        <v>2.01</v>
      </c>
    </row>
    <row r="246" customFormat="false" ht="15" hidden="false" customHeight="false" outlineLevel="0" collapsed="false">
      <c r="B246" s="39" t="n">
        <v>39325</v>
      </c>
      <c r="C246" s="10" t="n">
        <v>2.3</v>
      </c>
      <c r="D246" s="10" t="n">
        <v>4.28</v>
      </c>
      <c r="E246" s="13" t="n">
        <f aca="false">D246-C246</f>
        <v>1.98</v>
      </c>
    </row>
    <row r="247" customFormat="false" ht="15" hidden="false" customHeight="false" outlineLevel="0" collapsed="false">
      <c r="B247" s="39" t="n">
        <v>39332</v>
      </c>
      <c r="C247" s="10" t="n">
        <v>2.2</v>
      </c>
      <c r="D247" s="10" t="n">
        <v>4.16</v>
      </c>
      <c r="E247" s="13" t="n">
        <f aca="false">D247-C247</f>
        <v>1.96</v>
      </c>
    </row>
    <row r="248" customFormat="false" ht="15" hidden="false" customHeight="false" outlineLevel="0" collapsed="false">
      <c r="B248" s="39" t="n">
        <v>39339</v>
      </c>
      <c r="C248" s="10" t="n">
        <v>2.08</v>
      </c>
      <c r="D248" s="10" t="n">
        <v>4.12</v>
      </c>
      <c r="E248" s="13" t="n">
        <f aca="false">D248-C248</f>
        <v>2.04</v>
      </c>
    </row>
    <row r="249" customFormat="false" ht="15" hidden="false" customHeight="false" outlineLevel="0" collapsed="false">
      <c r="B249" s="39" t="n">
        <v>39346</v>
      </c>
      <c r="C249" s="10" t="n">
        <v>2.14</v>
      </c>
      <c r="D249" s="10" t="n">
        <v>4.25</v>
      </c>
      <c r="E249" s="13" t="n">
        <f aca="false">D249-C249</f>
        <v>2.11</v>
      </c>
    </row>
    <row r="250" customFormat="false" ht="15" hidden="false" customHeight="false" outlineLevel="0" collapsed="false">
      <c r="B250" s="39" t="n">
        <v>39353</v>
      </c>
      <c r="C250" s="10" t="n">
        <v>2.16</v>
      </c>
      <c r="D250" s="10" t="n">
        <v>4.26</v>
      </c>
      <c r="E250" s="13" t="n">
        <f aca="false">D250-C250</f>
        <v>2.1</v>
      </c>
    </row>
    <row r="251" customFormat="false" ht="15" hidden="false" customHeight="false" outlineLevel="0" collapsed="false">
      <c r="B251" s="39" t="n">
        <v>39360</v>
      </c>
      <c r="C251" s="10" t="n">
        <v>2.12</v>
      </c>
      <c r="D251" s="10" t="n">
        <v>4.25</v>
      </c>
      <c r="E251" s="13" t="n">
        <f aca="false">D251-C251</f>
        <v>2.13</v>
      </c>
    </row>
    <row r="252" customFormat="false" ht="15" hidden="false" customHeight="false" outlineLevel="0" collapsed="false">
      <c r="B252" s="39" t="n">
        <v>39367</v>
      </c>
      <c r="C252" s="10" t="n">
        <v>2.2</v>
      </c>
      <c r="D252" s="10" t="n">
        <v>4.38</v>
      </c>
      <c r="E252" s="13" t="n">
        <f aca="false">D252-C252</f>
        <v>2.18</v>
      </c>
    </row>
    <row r="253" customFormat="false" ht="15" hidden="false" customHeight="false" outlineLevel="0" collapsed="false">
      <c r="B253" s="39" t="n">
        <v>39374</v>
      </c>
      <c r="C253" s="10" t="n">
        <v>2.02</v>
      </c>
      <c r="D253" s="10" t="n">
        <v>4.23</v>
      </c>
      <c r="E253" s="13" t="n">
        <f aca="false">D253-C253</f>
        <v>2.21</v>
      </c>
    </row>
    <row r="254" customFormat="false" ht="15" hidden="false" customHeight="false" outlineLevel="0" collapsed="false">
      <c r="B254" s="39" t="n">
        <v>39381</v>
      </c>
      <c r="C254" s="10" t="n">
        <v>1.84</v>
      </c>
      <c r="D254" s="10" t="n">
        <v>4.04</v>
      </c>
      <c r="E254" s="13" t="n">
        <f aca="false">D254-C254</f>
        <v>2.2</v>
      </c>
    </row>
    <row r="255" customFormat="false" ht="15" hidden="false" customHeight="false" outlineLevel="0" collapsed="false">
      <c r="B255" s="39" t="n">
        <v>39388</v>
      </c>
      <c r="C255" s="10" t="n">
        <v>1.77</v>
      </c>
      <c r="D255" s="10" t="n">
        <v>4.04</v>
      </c>
      <c r="E255" s="13" t="n">
        <f aca="false">D255-C255</f>
        <v>2.27</v>
      </c>
    </row>
    <row r="256" customFormat="false" ht="15" hidden="false" customHeight="false" outlineLevel="0" collapsed="false">
      <c r="B256" s="39" t="n">
        <v>39395</v>
      </c>
      <c r="C256" s="10" t="n">
        <v>1.52</v>
      </c>
      <c r="D256" s="10" t="n">
        <v>3.89</v>
      </c>
      <c r="E256" s="13" t="n">
        <f aca="false">D256-C256</f>
        <v>2.37</v>
      </c>
    </row>
    <row r="257" customFormat="false" ht="15" hidden="false" customHeight="false" outlineLevel="0" collapsed="false">
      <c r="B257" s="39" t="n">
        <v>39402</v>
      </c>
      <c r="C257" s="10" t="n">
        <v>1.43</v>
      </c>
      <c r="D257" s="10" t="n">
        <v>3.77</v>
      </c>
      <c r="E257" s="13" t="n">
        <f aca="false">D257-C257</f>
        <v>2.34</v>
      </c>
    </row>
    <row r="258" customFormat="false" ht="15" hidden="false" customHeight="false" outlineLevel="0" collapsed="false">
      <c r="B258" s="39" t="n">
        <v>39409</v>
      </c>
      <c r="C258" s="10" t="n">
        <v>1.18</v>
      </c>
      <c r="D258" s="10" t="n">
        <v>3.48</v>
      </c>
      <c r="E258" s="13" t="n">
        <f aca="false">D258-C258</f>
        <v>2.3</v>
      </c>
    </row>
    <row r="259" customFormat="false" ht="15" hidden="false" customHeight="false" outlineLevel="0" collapsed="false">
      <c r="B259" s="39" t="n">
        <v>39416</v>
      </c>
      <c r="C259" s="10" t="n">
        <v>1.13</v>
      </c>
      <c r="D259" s="10" t="n">
        <v>3.39</v>
      </c>
      <c r="E259" s="13" t="n">
        <f aca="false">D259-C259</f>
        <v>2.26</v>
      </c>
    </row>
    <row r="260" customFormat="false" ht="15" hidden="false" customHeight="false" outlineLevel="0" collapsed="false">
      <c r="B260" s="39" t="n">
        <v>39423</v>
      </c>
      <c r="C260" s="10" t="n">
        <v>1.19</v>
      </c>
      <c r="D260" s="10" t="n">
        <v>3.35</v>
      </c>
      <c r="E260" s="13" t="n">
        <f aca="false">D260-C260</f>
        <v>2.16</v>
      </c>
    </row>
    <row r="261" customFormat="false" ht="15" hidden="false" customHeight="false" outlineLevel="0" collapsed="false">
      <c r="B261" s="39" t="n">
        <v>39430</v>
      </c>
      <c r="C261" s="10" t="n">
        <v>1.32</v>
      </c>
      <c r="D261" s="10" t="n">
        <v>3.49</v>
      </c>
      <c r="E261" s="13" t="n">
        <f aca="false">D261-C261</f>
        <v>2.17</v>
      </c>
    </row>
    <row r="262" customFormat="false" ht="15" hidden="false" customHeight="false" outlineLevel="0" collapsed="false">
      <c r="B262" s="39" t="n">
        <v>39437</v>
      </c>
      <c r="C262" s="10" t="n">
        <v>1.27</v>
      </c>
      <c r="D262" s="10" t="n">
        <v>3.52</v>
      </c>
      <c r="E262" s="13" t="n">
        <f aca="false">D262-C262</f>
        <v>2.25</v>
      </c>
    </row>
    <row r="263" customFormat="false" ht="15" hidden="false" customHeight="false" outlineLevel="0" collapsed="false">
      <c r="B263" s="39" t="n">
        <v>39444</v>
      </c>
      <c r="C263" s="10" t="n">
        <v>1.34</v>
      </c>
      <c r="D263" s="10" t="n">
        <v>3.63</v>
      </c>
      <c r="E263" s="13" t="n">
        <f aca="false">D263-C263</f>
        <v>2.29</v>
      </c>
    </row>
    <row r="264" customFormat="false" ht="15" hidden="false" customHeight="false" outlineLevel="0" collapsed="false">
      <c r="B264" s="39" t="n">
        <v>39451</v>
      </c>
      <c r="C264" s="10" t="n">
        <v>1.02</v>
      </c>
      <c r="D264" s="10" t="n">
        <v>3.29</v>
      </c>
      <c r="E264" s="13" t="n">
        <f aca="false">D264-C264</f>
        <v>2.27</v>
      </c>
    </row>
    <row r="265" customFormat="false" ht="15" hidden="false" customHeight="false" outlineLevel="0" collapsed="false">
      <c r="B265" s="39" t="n">
        <v>39458</v>
      </c>
      <c r="C265" s="10" t="n">
        <v>0.96</v>
      </c>
      <c r="D265" s="10" t="n">
        <v>3.13</v>
      </c>
      <c r="E265" s="13" t="n">
        <f aca="false">D265-C265</f>
        <v>2.17</v>
      </c>
    </row>
    <row r="266" customFormat="false" ht="15" hidden="false" customHeight="false" outlineLevel="0" collapsed="false">
      <c r="B266" s="39" t="n">
        <v>39465</v>
      </c>
      <c r="C266" s="10" t="n">
        <v>0.86</v>
      </c>
      <c r="D266" s="10" t="n">
        <v>2.97</v>
      </c>
      <c r="E266" s="13" t="n">
        <f aca="false">D266-C266</f>
        <v>2.11</v>
      </c>
    </row>
    <row r="267" customFormat="false" ht="15" hidden="false" customHeight="false" outlineLevel="0" collapsed="false">
      <c r="B267" s="39" t="n">
        <v>39472</v>
      </c>
      <c r="C267" s="10" t="n">
        <v>0.75</v>
      </c>
      <c r="D267" s="10" t="n">
        <v>2.74</v>
      </c>
      <c r="E267" s="13" t="n">
        <f aca="false">D267-C267</f>
        <v>1.99</v>
      </c>
    </row>
    <row r="268" customFormat="false" ht="15" hidden="false" customHeight="false" outlineLevel="0" collapsed="false">
      <c r="B268" s="39" t="n">
        <v>39479</v>
      </c>
      <c r="C268" s="10" t="n">
        <v>0.74</v>
      </c>
      <c r="D268" s="10" t="n">
        <v>2.84</v>
      </c>
      <c r="E268" s="13" t="n">
        <f aca="false">D268-C268</f>
        <v>2.1</v>
      </c>
    </row>
    <row r="269" customFormat="false" ht="15" hidden="false" customHeight="false" outlineLevel="0" collapsed="false">
      <c r="B269" s="39" t="n">
        <v>39486</v>
      </c>
      <c r="C269" s="10" t="n">
        <v>0.72</v>
      </c>
      <c r="D269" s="10" t="n">
        <v>2.72</v>
      </c>
      <c r="E269" s="13" t="n">
        <f aca="false">D269-C269</f>
        <v>2</v>
      </c>
    </row>
    <row r="270" customFormat="false" ht="15" hidden="false" customHeight="false" outlineLevel="0" collapsed="false">
      <c r="B270" s="39" t="n">
        <v>39493</v>
      </c>
      <c r="C270" s="10" t="n">
        <v>0.68</v>
      </c>
      <c r="D270" s="10" t="n">
        <v>2.73</v>
      </c>
      <c r="E270" s="13" t="n">
        <f aca="false">D270-C270</f>
        <v>2.05</v>
      </c>
    </row>
    <row r="271" customFormat="false" ht="15" hidden="false" customHeight="false" outlineLevel="0" collapsed="false">
      <c r="B271" s="39" t="n">
        <v>39500</v>
      </c>
      <c r="C271" s="10" t="n">
        <v>0.71</v>
      </c>
      <c r="D271" s="10" t="n">
        <v>2.89</v>
      </c>
      <c r="E271" s="13" t="n">
        <f aca="false">D271-C271</f>
        <v>2.18</v>
      </c>
    </row>
    <row r="272" customFormat="false" ht="15" hidden="false" customHeight="false" outlineLevel="0" collapsed="false">
      <c r="B272" s="39" t="n">
        <v>39507</v>
      </c>
      <c r="C272" s="10" t="n">
        <v>0.49</v>
      </c>
      <c r="D272" s="10" t="n">
        <v>2.8</v>
      </c>
      <c r="E272" s="13" t="n">
        <f aca="false">D272-C272</f>
        <v>2.31</v>
      </c>
    </row>
    <row r="273" customFormat="false" ht="15" hidden="false" customHeight="false" outlineLevel="0" collapsed="false">
      <c r="B273" s="39" t="n">
        <v>39514</v>
      </c>
      <c r="C273" s="10" t="n">
        <v>0.17</v>
      </c>
      <c r="D273" s="10" t="n">
        <v>2.51</v>
      </c>
      <c r="E273" s="13" t="n">
        <f aca="false">D273-C273</f>
        <v>2.34</v>
      </c>
    </row>
    <row r="274" customFormat="false" ht="15" hidden="false" customHeight="false" outlineLevel="0" collapsed="false">
      <c r="B274" s="39" t="n">
        <v>39521</v>
      </c>
      <c r="C274" s="10" t="n">
        <v>0.12</v>
      </c>
      <c r="D274" s="10" t="n">
        <v>2.47</v>
      </c>
      <c r="E274" s="13" t="n">
        <f aca="false">D274-C274</f>
        <v>2.35</v>
      </c>
    </row>
    <row r="275" customFormat="false" ht="15" hidden="false" customHeight="false" outlineLevel="0" collapsed="false">
      <c r="B275" s="39" t="n">
        <v>39528</v>
      </c>
      <c r="C275" s="10" t="n">
        <v>0.2</v>
      </c>
      <c r="D275" s="10" t="n">
        <v>2.34</v>
      </c>
      <c r="E275" s="13" t="n">
        <f aca="false">D275-C275</f>
        <v>2.14</v>
      </c>
    </row>
    <row r="276" customFormat="false" ht="15" hidden="false" customHeight="false" outlineLevel="0" collapsed="false">
      <c r="B276" s="39" t="n">
        <v>39535</v>
      </c>
      <c r="C276" s="10" t="n">
        <v>0.41</v>
      </c>
      <c r="D276" s="10" t="n">
        <v>2.58</v>
      </c>
      <c r="E276" s="13" t="n">
        <f aca="false">D276-C276</f>
        <v>2.17</v>
      </c>
    </row>
    <row r="277" customFormat="false" ht="15" hidden="false" customHeight="false" outlineLevel="0" collapsed="false">
      <c r="B277" s="39" t="n">
        <v>39542</v>
      </c>
      <c r="C277" s="10" t="n">
        <v>0.44</v>
      </c>
      <c r="D277" s="10" t="n">
        <v>2.64</v>
      </c>
      <c r="E277" s="13" t="n">
        <f aca="false">D277-C277</f>
        <v>2.2</v>
      </c>
    </row>
    <row r="278" customFormat="false" ht="15" hidden="false" customHeight="false" outlineLevel="0" collapsed="false">
      <c r="B278" s="39" t="n">
        <v>39549</v>
      </c>
      <c r="C278" s="10" t="n">
        <v>0.47</v>
      </c>
      <c r="D278" s="10" t="n">
        <v>2.66</v>
      </c>
      <c r="E278" s="13" t="n">
        <f aca="false">D278-C278</f>
        <v>2.19</v>
      </c>
    </row>
    <row r="279" customFormat="false" ht="15" hidden="false" customHeight="false" outlineLevel="0" collapsed="false">
      <c r="B279" s="39" t="n">
        <v>39556</v>
      </c>
      <c r="C279" s="10" t="n">
        <v>0.58</v>
      </c>
      <c r="D279" s="10" t="n">
        <v>2.79</v>
      </c>
      <c r="E279" s="13" t="n">
        <f aca="false">D279-C279</f>
        <v>2.21</v>
      </c>
    </row>
    <row r="280" customFormat="false" ht="15" hidden="false" customHeight="false" outlineLevel="0" collapsed="false">
      <c r="B280" s="39" t="n">
        <v>39563</v>
      </c>
      <c r="C280" s="10" t="n">
        <v>0.79</v>
      </c>
      <c r="D280" s="10" t="n">
        <v>3.05</v>
      </c>
      <c r="E280" s="13" t="n">
        <f aca="false">D280-C280</f>
        <v>2.26</v>
      </c>
    </row>
    <row r="281" customFormat="false" ht="15" hidden="false" customHeight="false" outlineLevel="0" collapsed="false">
      <c r="B281" s="39" t="n">
        <v>39570</v>
      </c>
      <c r="C281" s="10" t="n">
        <v>0.82</v>
      </c>
      <c r="D281" s="10" t="n">
        <v>3.1</v>
      </c>
      <c r="E281" s="13" t="n">
        <f aca="false">D281-C281</f>
        <v>2.28</v>
      </c>
    </row>
    <row r="282" customFormat="false" ht="15" hidden="false" customHeight="false" outlineLevel="0" collapsed="false">
      <c r="B282" s="39" t="n">
        <v>39577</v>
      </c>
      <c r="C282" s="10" t="n">
        <v>0.77</v>
      </c>
      <c r="D282" s="10" t="n">
        <v>3.07</v>
      </c>
      <c r="E282" s="13" t="n">
        <f aca="false">D282-C282</f>
        <v>2.3</v>
      </c>
    </row>
    <row r="283" customFormat="false" ht="15" hidden="false" customHeight="false" outlineLevel="0" collapsed="false">
      <c r="B283" s="39" t="n">
        <v>39584</v>
      </c>
      <c r="C283" s="10" t="n">
        <v>0.78</v>
      </c>
      <c r="D283" s="10" t="n">
        <v>3.12</v>
      </c>
      <c r="E283" s="13" t="n">
        <f aca="false">D283-C283</f>
        <v>2.34</v>
      </c>
    </row>
    <row r="284" customFormat="false" ht="15" hidden="false" customHeight="false" outlineLevel="0" collapsed="false">
      <c r="B284" s="39" t="n">
        <v>39591</v>
      </c>
      <c r="C284" s="10" t="n">
        <v>0.68</v>
      </c>
      <c r="D284" s="10" t="n">
        <v>3.12</v>
      </c>
      <c r="E284" s="13" t="n">
        <f aca="false">D284-C284</f>
        <v>2.44</v>
      </c>
    </row>
    <row r="285" customFormat="false" ht="15" hidden="false" customHeight="false" outlineLevel="0" collapsed="false">
      <c r="B285" s="39" t="n">
        <v>39598</v>
      </c>
      <c r="C285" s="10" t="n">
        <v>0.96</v>
      </c>
      <c r="D285" s="10" t="n">
        <v>3.36</v>
      </c>
      <c r="E285" s="13" t="n">
        <f aca="false">D285-C285</f>
        <v>2.4</v>
      </c>
    </row>
    <row r="286" customFormat="false" ht="15" hidden="false" customHeight="false" outlineLevel="0" collapsed="false">
      <c r="B286" s="39" t="n">
        <v>39605</v>
      </c>
      <c r="C286" s="10" t="n">
        <v>0.88</v>
      </c>
      <c r="D286" s="10" t="n">
        <v>3.26</v>
      </c>
      <c r="E286" s="13" t="n">
        <f aca="false">D286-C286</f>
        <v>2.38</v>
      </c>
    </row>
    <row r="287" customFormat="false" ht="15" hidden="false" customHeight="false" outlineLevel="0" collapsed="false">
      <c r="B287" s="39" t="n">
        <v>39612</v>
      </c>
      <c r="C287" s="10" t="n">
        <v>1.06</v>
      </c>
      <c r="D287" s="10" t="n">
        <v>3.57</v>
      </c>
      <c r="E287" s="13" t="n">
        <f aca="false">D287-C287</f>
        <v>2.51</v>
      </c>
    </row>
    <row r="288" customFormat="false" ht="15" hidden="false" customHeight="false" outlineLevel="0" collapsed="false">
      <c r="B288" s="39" t="n">
        <v>39619</v>
      </c>
      <c r="C288" s="10" t="n">
        <v>1.08</v>
      </c>
      <c r="D288" s="10" t="n">
        <v>3.64</v>
      </c>
      <c r="E288" s="13" t="n">
        <f aca="false">D288-C288</f>
        <v>2.56</v>
      </c>
    </row>
    <row r="289" customFormat="false" ht="15" hidden="false" customHeight="false" outlineLevel="0" collapsed="false">
      <c r="B289" s="39" t="n">
        <v>39626</v>
      </c>
      <c r="C289" s="10" t="n">
        <v>0.91</v>
      </c>
      <c r="D289" s="10" t="n">
        <v>3.5</v>
      </c>
      <c r="E289" s="13" t="n">
        <f aca="false">D289-C289</f>
        <v>2.59</v>
      </c>
    </row>
    <row r="290" customFormat="false" ht="15" hidden="false" customHeight="false" outlineLevel="0" collapsed="false">
      <c r="B290" s="39" t="n">
        <v>39633</v>
      </c>
      <c r="C290" s="10" t="n">
        <v>0.64</v>
      </c>
      <c r="D290" s="10" t="n">
        <v>3.32</v>
      </c>
      <c r="E290" s="13" t="n">
        <f aca="false">D290-C290</f>
        <v>2.68</v>
      </c>
    </row>
    <row r="291" customFormat="false" ht="15" hidden="false" customHeight="false" outlineLevel="0" collapsed="false">
      <c r="B291" s="39" t="n">
        <v>39640</v>
      </c>
      <c r="C291" s="10" t="n">
        <v>0.61</v>
      </c>
      <c r="D291" s="10" t="n">
        <v>3.18</v>
      </c>
      <c r="E291" s="13" t="n">
        <f aca="false">D291-C291</f>
        <v>2.57</v>
      </c>
    </row>
    <row r="292" customFormat="false" ht="15" hidden="false" customHeight="false" outlineLevel="0" collapsed="false">
      <c r="B292" s="39" t="n">
        <v>39647</v>
      </c>
      <c r="C292" s="10" t="n">
        <v>0.71</v>
      </c>
      <c r="D292" s="10" t="n">
        <v>3.26</v>
      </c>
      <c r="E292" s="13" t="n">
        <f aca="false">D292-C292</f>
        <v>2.55</v>
      </c>
    </row>
    <row r="293" customFormat="false" ht="15" hidden="false" customHeight="false" outlineLevel="0" collapsed="false">
      <c r="B293" s="39" t="n">
        <v>39654</v>
      </c>
      <c r="C293" s="10" t="n">
        <v>1.1</v>
      </c>
      <c r="D293" s="10" t="n">
        <v>3.44</v>
      </c>
      <c r="E293" s="13" t="n">
        <f aca="false">D293-C293</f>
        <v>2.34</v>
      </c>
    </row>
    <row r="294" customFormat="false" ht="15" hidden="false" customHeight="false" outlineLevel="0" collapsed="false">
      <c r="B294" s="39" t="n">
        <v>39661</v>
      </c>
      <c r="C294" s="10" t="n">
        <v>1.12</v>
      </c>
      <c r="D294" s="10" t="n">
        <v>3.31</v>
      </c>
      <c r="E294" s="13" t="n">
        <f aca="false">D294-C294</f>
        <v>2.19</v>
      </c>
    </row>
    <row r="295" customFormat="false" ht="15" hidden="false" customHeight="false" outlineLevel="0" collapsed="false">
      <c r="B295" s="39" t="n">
        <v>39668</v>
      </c>
      <c r="C295" s="10" t="n">
        <v>1.15</v>
      </c>
      <c r="D295" s="10" t="n">
        <v>3.24</v>
      </c>
      <c r="E295" s="13" t="n">
        <f aca="false">D295-C295</f>
        <v>2.09</v>
      </c>
    </row>
    <row r="296" customFormat="false" ht="15" hidden="false" customHeight="false" outlineLevel="0" collapsed="false">
      <c r="B296" s="39" t="n">
        <v>39675</v>
      </c>
      <c r="C296" s="10" t="n">
        <v>1.18</v>
      </c>
      <c r="D296" s="10" t="n">
        <v>3.18</v>
      </c>
      <c r="E296" s="13" t="n">
        <f aca="false">D296-C296</f>
        <v>2</v>
      </c>
    </row>
    <row r="297" customFormat="false" ht="15" hidden="false" customHeight="false" outlineLevel="0" collapsed="false">
      <c r="B297" s="39" t="n">
        <v>39682</v>
      </c>
      <c r="C297" s="10" t="n">
        <v>1.12</v>
      </c>
      <c r="D297" s="10" t="n">
        <v>3.07</v>
      </c>
      <c r="E297" s="13" t="n">
        <f aca="false">D297-C297</f>
        <v>1.95</v>
      </c>
    </row>
    <row r="298" customFormat="false" ht="15" hidden="false" customHeight="false" outlineLevel="0" collapsed="false">
      <c r="B298" s="39" t="n">
        <v>39689</v>
      </c>
      <c r="C298" s="10" t="n">
        <v>1.16</v>
      </c>
      <c r="D298" s="10" t="n">
        <v>3.06</v>
      </c>
      <c r="E298" s="13" t="n">
        <f aca="false">D298-C298</f>
        <v>1.9</v>
      </c>
    </row>
    <row r="299" customFormat="false" ht="15" hidden="false" customHeight="false" outlineLevel="0" collapsed="false">
      <c r="B299" s="39" t="n">
        <v>39696</v>
      </c>
      <c r="C299" s="10" t="n">
        <v>1.29</v>
      </c>
      <c r="D299" s="10" t="n">
        <v>2.93</v>
      </c>
      <c r="E299" s="13" t="n">
        <f aca="false">D299-C299</f>
        <v>1.64</v>
      </c>
    </row>
    <row r="300" customFormat="false" ht="15" hidden="false" customHeight="false" outlineLevel="0" collapsed="false">
      <c r="B300" s="39" t="n">
        <v>39703</v>
      </c>
      <c r="C300" s="10" t="n">
        <v>1.39</v>
      </c>
      <c r="D300" s="10" t="n">
        <v>2.92</v>
      </c>
      <c r="E300" s="13" t="n">
        <f aca="false">D300-C300</f>
        <v>1.53</v>
      </c>
    </row>
    <row r="301" customFormat="false" ht="15" hidden="false" customHeight="false" outlineLevel="0" collapsed="false">
      <c r="B301" s="39" t="n">
        <v>39710</v>
      </c>
      <c r="C301" s="10" t="n">
        <v>1.55</v>
      </c>
      <c r="D301" s="10" t="n">
        <v>2.69</v>
      </c>
      <c r="E301" s="13" t="n">
        <f aca="false">D301-C301</f>
        <v>1.14</v>
      </c>
    </row>
    <row r="302" customFormat="false" ht="15" hidden="false" customHeight="false" outlineLevel="0" collapsed="false">
      <c r="B302" s="39" t="n">
        <v>39717</v>
      </c>
      <c r="C302" s="10" t="n">
        <v>1.8</v>
      </c>
      <c r="D302" s="10" t="n">
        <v>3.02</v>
      </c>
      <c r="E302" s="13" t="n">
        <f aca="false">D302-C302</f>
        <v>1.22</v>
      </c>
    </row>
    <row r="303" customFormat="false" ht="15" hidden="false" customHeight="false" outlineLevel="0" collapsed="false">
      <c r="B303" s="39" t="n">
        <v>39724</v>
      </c>
      <c r="C303" s="10" t="n">
        <v>1.82</v>
      </c>
      <c r="D303" s="10" t="n">
        <v>2.77</v>
      </c>
      <c r="E303" s="13" t="n">
        <f aca="false">D303-C303</f>
        <v>0.95</v>
      </c>
    </row>
    <row r="304" customFormat="false" ht="15" hidden="false" customHeight="false" outlineLevel="0" collapsed="false">
      <c r="B304" s="39" t="n">
        <v>39731</v>
      </c>
      <c r="C304" s="10" t="n">
        <v>2.14</v>
      </c>
      <c r="D304" s="10" t="n">
        <v>2.63</v>
      </c>
      <c r="E304" s="13" t="n">
        <f aca="false">D304-C304</f>
        <v>0.49</v>
      </c>
    </row>
    <row r="305" customFormat="false" ht="15" hidden="false" customHeight="false" outlineLevel="0" collapsed="false">
      <c r="B305" s="39" t="n">
        <v>39738</v>
      </c>
      <c r="C305" s="10" t="n">
        <v>2.8</v>
      </c>
      <c r="D305" s="10" t="n">
        <v>2.9</v>
      </c>
      <c r="E305" s="13" t="n">
        <f aca="false">D305-C305</f>
        <v>0.1</v>
      </c>
    </row>
    <row r="306" customFormat="false" ht="15" hidden="false" customHeight="false" outlineLevel="0" collapsed="false">
      <c r="B306" s="39" t="n">
        <v>39745</v>
      </c>
      <c r="C306" s="10" t="n">
        <v>2.94</v>
      </c>
      <c r="D306" s="10" t="n">
        <v>2.64</v>
      </c>
      <c r="E306" s="13" t="n">
        <f aca="false">D306-C306</f>
        <v>-0.3</v>
      </c>
    </row>
    <row r="307" customFormat="false" ht="15" hidden="false" customHeight="false" outlineLevel="0" collapsed="false">
      <c r="B307" s="39" t="n">
        <v>39752</v>
      </c>
      <c r="C307" s="10" t="n">
        <v>3.73</v>
      </c>
      <c r="D307" s="10" t="n">
        <v>2.77</v>
      </c>
      <c r="E307" s="13" t="n">
        <f aca="false">D307-C307</f>
        <v>-0.96</v>
      </c>
    </row>
    <row r="308" customFormat="false" ht="15" hidden="false" customHeight="false" outlineLevel="0" collapsed="false">
      <c r="B308" s="39" t="n">
        <v>39759</v>
      </c>
      <c r="C308" s="10" t="n">
        <v>3.51</v>
      </c>
      <c r="D308" s="10" t="n">
        <v>2.56</v>
      </c>
      <c r="E308" s="13" t="n">
        <f aca="false">D308-C308</f>
        <v>-0.95</v>
      </c>
    </row>
    <row r="309" customFormat="false" ht="15" hidden="false" customHeight="false" outlineLevel="0" collapsed="false">
      <c r="B309" s="39" t="n">
        <v>39766</v>
      </c>
      <c r="C309" s="10" t="n">
        <v>3.48</v>
      </c>
      <c r="D309" s="10" t="n">
        <v>2.41</v>
      </c>
      <c r="E309" s="13" t="n">
        <f aca="false">D309-C309</f>
        <v>-1.07</v>
      </c>
    </row>
    <row r="310" customFormat="false" ht="15" hidden="false" customHeight="false" outlineLevel="0" collapsed="false">
      <c r="B310" s="39" t="n">
        <v>39773</v>
      </c>
      <c r="C310" s="10" t="n">
        <v>3.65</v>
      </c>
      <c r="D310" s="10" t="n">
        <v>2.12</v>
      </c>
      <c r="E310" s="13" t="n">
        <f aca="false">D310-C310</f>
        <v>-1.53</v>
      </c>
    </row>
    <row r="311" customFormat="false" ht="15" hidden="false" customHeight="false" outlineLevel="0" collapsed="false">
      <c r="B311" s="39" t="n">
        <v>39780</v>
      </c>
      <c r="C311" s="10" t="n">
        <v>4.18</v>
      </c>
      <c r="D311" s="10" t="n">
        <v>2.06</v>
      </c>
      <c r="E311" s="13" t="n">
        <f aca="false">D311-C311</f>
        <v>-2.12</v>
      </c>
    </row>
    <row r="312" customFormat="false" ht="15" hidden="false" customHeight="false" outlineLevel="0" collapsed="false">
      <c r="B312" s="39" t="n">
        <v>39787</v>
      </c>
      <c r="C312" s="10" t="n">
        <v>1.72</v>
      </c>
      <c r="D312" s="10" t="n">
        <v>1.63</v>
      </c>
      <c r="E312" s="13" t="n">
        <f aca="false">D312-C312</f>
        <v>-0.0900000000000001</v>
      </c>
    </row>
    <row r="313" customFormat="false" ht="15" hidden="false" customHeight="false" outlineLevel="0" collapsed="false">
      <c r="B313" s="39" t="n">
        <v>39794</v>
      </c>
      <c r="C313" s="10" t="n">
        <v>1.96</v>
      </c>
      <c r="D313" s="10" t="n">
        <v>1.62</v>
      </c>
      <c r="E313" s="13" t="n">
        <f aca="false">D313-C313</f>
        <v>-0.34</v>
      </c>
    </row>
    <row r="314" customFormat="false" ht="15" hidden="false" customHeight="false" outlineLevel="0" collapsed="false">
      <c r="B314" s="39" t="n">
        <v>39801</v>
      </c>
      <c r="C314" s="10" t="n">
        <v>1.6</v>
      </c>
      <c r="D314" s="10" t="n">
        <v>1.36</v>
      </c>
      <c r="E314" s="13" t="n">
        <f aca="false">D314-C314</f>
        <v>-0.24</v>
      </c>
    </row>
    <row r="315" customFormat="false" ht="15" hidden="false" customHeight="false" outlineLevel="0" collapsed="false">
      <c r="B315" s="39" t="n">
        <v>39808</v>
      </c>
      <c r="C315" s="10" t="n">
        <v>1.79</v>
      </c>
      <c r="D315" s="10" t="n">
        <v>1.5</v>
      </c>
      <c r="E315" s="13" t="n">
        <f aca="false">D315-C315</f>
        <v>-0.29</v>
      </c>
    </row>
    <row r="316" customFormat="false" ht="15" hidden="false" customHeight="false" outlineLevel="0" collapsed="false">
      <c r="B316" s="39" t="n">
        <v>39815</v>
      </c>
      <c r="C316" s="10" t="n">
        <v>1.79</v>
      </c>
      <c r="D316" s="10" t="n">
        <v>1.55</v>
      </c>
      <c r="E316" s="13" t="n">
        <f aca="false">D316-C316</f>
        <v>-0.24</v>
      </c>
    </row>
    <row r="317" customFormat="false" ht="15" hidden="false" customHeight="false" outlineLevel="0" collapsed="false">
      <c r="B317" s="39" t="n">
        <v>39822</v>
      </c>
      <c r="C317" s="10" t="n">
        <v>1.74</v>
      </c>
      <c r="D317" s="10" t="n">
        <v>1.62</v>
      </c>
      <c r="E317" s="13" t="n">
        <f aca="false">D317-C317</f>
        <v>-0.12</v>
      </c>
    </row>
    <row r="318" customFormat="false" ht="15" hidden="false" customHeight="false" outlineLevel="0" collapsed="false">
      <c r="B318" s="39" t="n">
        <v>39829</v>
      </c>
      <c r="C318" s="10" t="n">
        <v>1.49</v>
      </c>
      <c r="D318" s="10" t="n">
        <v>1.42</v>
      </c>
      <c r="E318" s="13" t="n">
        <f aca="false">D318-C318</f>
        <v>-0.0700000000000001</v>
      </c>
    </row>
    <row r="319" customFormat="false" ht="15" hidden="false" customHeight="false" outlineLevel="0" collapsed="false">
      <c r="B319" s="39" t="n">
        <v>39836</v>
      </c>
      <c r="C319" s="10" t="n">
        <v>1.52</v>
      </c>
      <c r="D319" s="10" t="n">
        <v>1.58</v>
      </c>
      <c r="E319" s="13" t="n">
        <f aca="false">D319-C319</f>
        <v>0.0600000000000001</v>
      </c>
    </row>
    <row r="320" customFormat="false" ht="15" hidden="false" customHeight="false" outlineLevel="0" collapsed="false">
      <c r="B320" s="39" t="n">
        <v>39843</v>
      </c>
      <c r="C320" s="10" t="n">
        <v>1.5</v>
      </c>
      <c r="D320" s="10" t="n">
        <v>1.74</v>
      </c>
      <c r="E320" s="13" t="n">
        <f aca="false">D320-C320</f>
        <v>0.24</v>
      </c>
    </row>
    <row r="321" customFormat="false" ht="15" hidden="false" customHeight="false" outlineLevel="0" collapsed="false">
      <c r="B321" s="39" t="n">
        <v>39850</v>
      </c>
      <c r="C321" s="10" t="n">
        <v>1.38</v>
      </c>
      <c r="D321" s="10" t="n">
        <v>1.88</v>
      </c>
      <c r="E321" s="13" t="n">
        <f aca="false">D321-C321</f>
        <v>0.5</v>
      </c>
    </row>
    <row r="322" customFormat="false" ht="15" hidden="false" customHeight="false" outlineLevel="0" collapsed="false">
      <c r="B322" s="39" t="n">
        <v>39857</v>
      </c>
      <c r="C322" s="10" t="n">
        <v>1.12</v>
      </c>
      <c r="D322" s="10" t="n">
        <v>1.83</v>
      </c>
      <c r="E322" s="13" t="n">
        <f aca="false">D322-C322</f>
        <v>0.71</v>
      </c>
    </row>
    <row r="323" customFormat="false" ht="15" hidden="false" customHeight="false" outlineLevel="0" collapsed="false">
      <c r="B323" s="39" t="n">
        <v>39864</v>
      </c>
      <c r="C323" s="10" t="n">
        <v>1.26</v>
      </c>
      <c r="D323" s="10" t="n">
        <v>1.79</v>
      </c>
      <c r="E323" s="13" t="n">
        <f aca="false">D323-C323</f>
        <v>0.53</v>
      </c>
    </row>
    <row r="324" customFormat="false" ht="15" hidden="false" customHeight="false" outlineLevel="0" collapsed="false">
      <c r="B324" s="39" t="n">
        <v>39871</v>
      </c>
      <c r="C324" s="10" t="n">
        <v>1.39</v>
      </c>
      <c r="D324" s="10" t="n">
        <v>1.97</v>
      </c>
      <c r="E324" s="13" t="n">
        <f aca="false">D324-C324</f>
        <v>0.58</v>
      </c>
    </row>
    <row r="325" customFormat="false" ht="15" hidden="false" customHeight="false" outlineLevel="0" collapsed="false">
      <c r="B325" s="39" t="n">
        <v>39878</v>
      </c>
      <c r="C325" s="10" t="n">
        <v>1.43</v>
      </c>
      <c r="D325" s="10" t="n">
        <v>1.87</v>
      </c>
      <c r="E325" s="13" t="n">
        <f aca="false">D325-C325</f>
        <v>0.44</v>
      </c>
    </row>
    <row r="326" customFormat="false" ht="15" hidden="false" customHeight="false" outlineLevel="0" collapsed="false">
      <c r="B326" s="39" t="n">
        <v>39885</v>
      </c>
      <c r="C326" s="10" t="n">
        <v>1.5</v>
      </c>
      <c r="D326" s="10" t="n">
        <v>1.93</v>
      </c>
      <c r="E326" s="13" t="n">
        <f aca="false">D326-C326</f>
        <v>0.43</v>
      </c>
    </row>
    <row r="327" customFormat="false" ht="15" hidden="false" customHeight="false" outlineLevel="0" collapsed="false">
      <c r="B327" s="39" t="n">
        <v>39892</v>
      </c>
      <c r="C327" s="10" t="n">
        <v>1.14</v>
      </c>
      <c r="D327" s="10" t="n">
        <v>1.75</v>
      </c>
      <c r="E327" s="13" t="n">
        <f aca="false">D327-C327</f>
        <v>0.61</v>
      </c>
    </row>
    <row r="328" customFormat="false" ht="15" hidden="false" customHeight="false" outlineLevel="0" collapsed="false">
      <c r="B328" s="39" t="n">
        <v>39899</v>
      </c>
      <c r="C328" s="10" t="n">
        <v>0.96</v>
      </c>
      <c r="D328" s="10" t="n">
        <v>1.76</v>
      </c>
      <c r="E328" s="13" t="n">
        <f aca="false">D328-C328</f>
        <v>0.8</v>
      </c>
    </row>
    <row r="329" customFormat="false" ht="15" hidden="false" customHeight="false" outlineLevel="0" collapsed="false">
      <c r="B329" s="39" t="n">
        <v>39906</v>
      </c>
      <c r="C329" s="10" t="n">
        <v>0.98</v>
      </c>
      <c r="D329" s="10" t="n">
        <v>1.73</v>
      </c>
      <c r="E329" s="13" t="n">
        <f aca="false">D329-C329</f>
        <v>0.75</v>
      </c>
    </row>
    <row r="330" customFormat="false" ht="15" hidden="false" customHeight="false" outlineLevel="0" collapsed="false">
      <c r="B330" s="39" t="n">
        <v>39913</v>
      </c>
      <c r="C330" s="10" t="n">
        <v>1.06</v>
      </c>
      <c r="D330" s="10" t="n">
        <v>1.88</v>
      </c>
      <c r="E330" s="13" t="n">
        <f aca="false">D330-C330</f>
        <v>0.82</v>
      </c>
    </row>
    <row r="331" customFormat="false" ht="15" hidden="false" customHeight="false" outlineLevel="0" collapsed="false">
      <c r="B331" s="39" t="n">
        <v>39920</v>
      </c>
      <c r="C331" s="10" t="n">
        <v>1.05</v>
      </c>
      <c r="D331" s="10" t="n">
        <v>1.79</v>
      </c>
      <c r="E331" s="13" t="n">
        <f aca="false">D331-C331</f>
        <v>0.74</v>
      </c>
    </row>
    <row r="332" customFormat="false" ht="15" hidden="false" customHeight="false" outlineLevel="0" collapsed="false">
      <c r="B332" s="39" t="n">
        <v>39927</v>
      </c>
      <c r="C332" s="10" t="n">
        <v>1.24</v>
      </c>
      <c r="D332" s="10" t="n">
        <v>1.89</v>
      </c>
      <c r="E332" s="13" t="n">
        <f aca="false">D332-C332</f>
        <v>0.65</v>
      </c>
    </row>
    <row r="333" customFormat="false" ht="15" hidden="false" customHeight="false" outlineLevel="0" collapsed="false">
      <c r="B333" s="39" t="n">
        <v>39934</v>
      </c>
      <c r="C333" s="10" t="n">
        <v>1.17</v>
      </c>
      <c r="D333" s="10" t="n">
        <v>1.98</v>
      </c>
      <c r="E333" s="13" t="n">
        <f aca="false">D333-C333</f>
        <v>0.81</v>
      </c>
    </row>
    <row r="334" customFormat="false" ht="15" hidden="false" customHeight="false" outlineLevel="0" collapsed="false">
      <c r="B334" s="39" t="n">
        <v>39941</v>
      </c>
      <c r="C334" s="10" t="n">
        <v>1.14</v>
      </c>
      <c r="D334" s="10" t="n">
        <v>2.09</v>
      </c>
      <c r="E334" s="13" t="n">
        <f aca="false">D334-C334</f>
        <v>0.95</v>
      </c>
    </row>
    <row r="335" customFormat="false" ht="15" hidden="false" customHeight="false" outlineLevel="0" collapsed="false">
      <c r="B335" s="39" t="n">
        <v>39948</v>
      </c>
      <c r="C335" s="10" t="n">
        <v>1.02</v>
      </c>
      <c r="D335" s="10" t="n">
        <v>2.01</v>
      </c>
      <c r="E335" s="13" t="n">
        <f aca="false">D335-C335</f>
        <v>0.99</v>
      </c>
    </row>
    <row r="336" customFormat="false" ht="15" hidden="false" customHeight="false" outlineLevel="0" collapsed="false">
      <c r="B336" s="39" t="n">
        <v>39955</v>
      </c>
      <c r="C336" s="10" t="n">
        <v>1.02</v>
      </c>
      <c r="D336" s="10" t="n">
        <v>2.13</v>
      </c>
      <c r="E336" s="13" t="n">
        <f aca="false">D336-C336</f>
        <v>1.11</v>
      </c>
    </row>
    <row r="337" customFormat="false" ht="15" hidden="false" customHeight="false" outlineLevel="0" collapsed="false">
      <c r="B337" s="39" t="n">
        <v>39962</v>
      </c>
      <c r="C337" s="10" t="n">
        <v>1.06</v>
      </c>
      <c r="D337" s="10" t="n">
        <v>2.38</v>
      </c>
      <c r="E337" s="13" t="n">
        <f aca="false">D337-C337</f>
        <v>1.32</v>
      </c>
    </row>
    <row r="338" customFormat="false" ht="15" hidden="false" customHeight="false" outlineLevel="0" collapsed="false">
      <c r="B338" s="39" t="n">
        <v>39969</v>
      </c>
      <c r="C338" s="10" t="n">
        <v>1.01</v>
      </c>
      <c r="D338" s="10" t="n">
        <v>2.58</v>
      </c>
      <c r="E338" s="13" t="n">
        <f aca="false">D338-C338</f>
        <v>1.57</v>
      </c>
    </row>
    <row r="339" customFormat="false" ht="15" hidden="false" customHeight="false" outlineLevel="0" collapsed="false">
      <c r="B339" s="39" t="n">
        <v>39976</v>
      </c>
      <c r="C339" s="10" t="n">
        <v>1.13</v>
      </c>
      <c r="D339" s="10" t="n">
        <v>2.88</v>
      </c>
      <c r="E339" s="13" t="n">
        <f aca="false">D339-C339</f>
        <v>1.75</v>
      </c>
    </row>
    <row r="340" customFormat="false" ht="15" hidden="false" customHeight="false" outlineLevel="0" collapsed="false">
      <c r="B340" s="39" t="n">
        <v>39983</v>
      </c>
      <c r="C340" s="10" t="n">
        <v>1.24</v>
      </c>
      <c r="D340" s="10" t="n">
        <v>2.76</v>
      </c>
      <c r="E340" s="13" t="n">
        <f aca="false">D340-C340</f>
        <v>1.52</v>
      </c>
    </row>
    <row r="341" customFormat="false" ht="15" hidden="false" customHeight="false" outlineLevel="0" collapsed="false">
      <c r="B341" s="39" t="n">
        <v>39990</v>
      </c>
      <c r="C341" s="10" t="n">
        <v>1.31</v>
      </c>
      <c r="D341" s="10" t="n">
        <v>2.66</v>
      </c>
      <c r="E341" s="13" t="n">
        <f aca="false">D341-C341</f>
        <v>1.35</v>
      </c>
    </row>
    <row r="342" customFormat="false" ht="15" hidden="false" customHeight="false" outlineLevel="0" collapsed="false">
      <c r="B342" s="39" t="n">
        <v>39997</v>
      </c>
      <c r="C342" s="10" t="n">
        <v>1.21</v>
      </c>
      <c r="D342" s="10" t="n">
        <v>2.5</v>
      </c>
      <c r="E342" s="13" t="n">
        <f aca="false">D342-C342</f>
        <v>1.29</v>
      </c>
    </row>
    <row r="343" customFormat="false" ht="15" hidden="false" customHeight="false" outlineLevel="0" collapsed="false">
      <c r="B343" s="39" t="n">
        <v>40004</v>
      </c>
      <c r="C343" s="10" t="n">
        <v>1.16</v>
      </c>
      <c r="D343" s="10" t="n">
        <v>2.31</v>
      </c>
      <c r="E343" s="13" t="n">
        <f aca="false">D343-C343</f>
        <v>1.15</v>
      </c>
    </row>
    <row r="344" customFormat="false" ht="15" hidden="false" customHeight="false" outlineLevel="0" collapsed="false">
      <c r="B344" s="39" t="n">
        <v>40011</v>
      </c>
      <c r="C344" s="10" t="n">
        <v>1.2</v>
      </c>
      <c r="D344" s="10" t="n">
        <v>2.43</v>
      </c>
      <c r="E344" s="13" t="n">
        <f aca="false">D344-C344</f>
        <v>1.23</v>
      </c>
    </row>
    <row r="345" customFormat="false" ht="15" hidden="false" customHeight="false" outlineLevel="0" collapsed="false">
      <c r="B345" s="39" t="n">
        <v>40018</v>
      </c>
      <c r="C345" s="10" t="n">
        <v>1.11</v>
      </c>
      <c r="D345" s="10" t="n">
        <v>2.48</v>
      </c>
      <c r="E345" s="13" t="n">
        <f aca="false">D345-C345</f>
        <v>1.37</v>
      </c>
    </row>
    <row r="346" customFormat="false" ht="15" hidden="false" customHeight="false" outlineLevel="0" collapsed="false">
      <c r="B346" s="39" t="n">
        <v>40025</v>
      </c>
      <c r="C346" s="10" t="n">
        <v>1.25</v>
      </c>
      <c r="D346" s="10" t="n">
        <v>2.63</v>
      </c>
      <c r="E346" s="13" t="n">
        <f aca="false">D346-C346</f>
        <v>1.38</v>
      </c>
    </row>
    <row r="347" customFormat="false" ht="15" hidden="false" customHeight="false" outlineLevel="0" collapsed="false">
      <c r="B347" s="39" t="n">
        <v>40032</v>
      </c>
      <c r="C347" s="10" t="n">
        <v>1.31</v>
      </c>
      <c r="D347" s="10" t="n">
        <v>2.73</v>
      </c>
      <c r="E347" s="13" t="n">
        <f aca="false">D347-C347</f>
        <v>1.42</v>
      </c>
    </row>
    <row r="348" customFormat="false" ht="15" hidden="false" customHeight="false" outlineLevel="0" collapsed="false">
      <c r="B348" s="39" t="n">
        <v>40039</v>
      </c>
      <c r="C348" s="10" t="n">
        <v>1.35</v>
      </c>
      <c r="D348" s="10" t="n">
        <v>2.65</v>
      </c>
      <c r="E348" s="13" t="n">
        <f aca="false">D348-C348</f>
        <v>1.3</v>
      </c>
    </row>
    <row r="349" customFormat="false" ht="15" hidden="false" customHeight="false" outlineLevel="0" collapsed="false">
      <c r="B349" s="39" t="n">
        <v>40046</v>
      </c>
      <c r="C349" s="10" t="n">
        <v>1.25</v>
      </c>
      <c r="D349" s="10" t="n">
        <v>2.47</v>
      </c>
      <c r="E349" s="13" t="n">
        <f aca="false">D349-C349</f>
        <v>1.22</v>
      </c>
    </row>
    <row r="350" customFormat="false" ht="15" hidden="false" customHeight="false" outlineLevel="0" collapsed="false">
      <c r="B350" s="39" t="n">
        <v>40053</v>
      </c>
      <c r="C350" s="10" t="n">
        <v>1.26</v>
      </c>
      <c r="D350" s="10" t="n">
        <v>2.48</v>
      </c>
      <c r="E350" s="13" t="n">
        <f aca="false">D350-C350</f>
        <v>1.22</v>
      </c>
    </row>
    <row r="351" customFormat="false" ht="15" hidden="false" customHeight="false" outlineLevel="0" collapsed="false">
      <c r="B351" s="39" t="n">
        <v>40060</v>
      </c>
      <c r="C351" s="10" t="n">
        <v>1.19</v>
      </c>
      <c r="D351" s="10" t="n">
        <v>2.33</v>
      </c>
      <c r="E351" s="13" t="n">
        <f aca="false">D351-C351</f>
        <v>1.14</v>
      </c>
    </row>
    <row r="352" customFormat="false" ht="15" hidden="false" customHeight="false" outlineLevel="0" collapsed="false">
      <c r="B352" s="39" t="n">
        <v>40067</v>
      </c>
      <c r="C352" s="10" t="n">
        <v>1</v>
      </c>
      <c r="D352" s="10" t="n">
        <v>2.34</v>
      </c>
      <c r="E352" s="13" t="n">
        <f aca="false">D352-C352</f>
        <v>1.34</v>
      </c>
    </row>
    <row r="353" customFormat="false" ht="15" hidden="false" customHeight="false" outlineLevel="0" collapsed="false">
      <c r="B353" s="39" t="n">
        <v>40074</v>
      </c>
      <c r="C353" s="10" t="n">
        <v>0.97</v>
      </c>
      <c r="D353" s="10" t="n">
        <v>2.43</v>
      </c>
      <c r="E353" s="13" t="n">
        <f aca="false">D353-C353</f>
        <v>1.46</v>
      </c>
    </row>
    <row r="354" customFormat="false" ht="15" hidden="false" customHeight="false" outlineLevel="0" collapsed="false">
      <c r="B354" s="39" t="n">
        <v>40081</v>
      </c>
      <c r="C354" s="10" t="n">
        <v>1.02</v>
      </c>
      <c r="D354" s="10" t="n">
        <v>2.41</v>
      </c>
      <c r="E354" s="13" t="n">
        <f aca="false">D354-C354</f>
        <v>1.39</v>
      </c>
    </row>
    <row r="355" customFormat="false" ht="15" hidden="false" customHeight="false" outlineLevel="0" collapsed="false">
      <c r="B355" s="39" t="n">
        <v>40088</v>
      </c>
      <c r="C355" s="10" t="n">
        <v>0.94</v>
      </c>
      <c r="D355" s="10" t="n">
        <v>2.28</v>
      </c>
      <c r="E355" s="13" t="n">
        <f aca="false">D355-C355</f>
        <v>1.34</v>
      </c>
    </row>
    <row r="356" customFormat="false" ht="15" hidden="false" customHeight="false" outlineLevel="0" collapsed="false">
      <c r="B356" s="39" t="n">
        <v>40095</v>
      </c>
      <c r="C356" s="10" t="n">
        <v>0.86</v>
      </c>
      <c r="D356" s="10" t="n">
        <v>2.24</v>
      </c>
      <c r="E356" s="13" t="n">
        <f aca="false">D356-C356</f>
        <v>1.38</v>
      </c>
    </row>
    <row r="357" customFormat="false" ht="15" hidden="false" customHeight="false" outlineLevel="0" collapsed="false">
      <c r="B357" s="39" t="n">
        <v>40102</v>
      </c>
      <c r="C357" s="10" t="n">
        <v>0.83</v>
      </c>
      <c r="D357" s="10" t="n">
        <v>2.36</v>
      </c>
      <c r="E357" s="13" t="n">
        <f aca="false">D357-C357</f>
        <v>1.53</v>
      </c>
    </row>
    <row r="358" customFormat="false" ht="15" hidden="false" customHeight="false" outlineLevel="0" collapsed="false">
      <c r="B358" s="39" t="n">
        <v>40109</v>
      </c>
      <c r="C358" s="10" t="n">
        <v>0.81</v>
      </c>
      <c r="D358" s="10" t="n">
        <v>2.38</v>
      </c>
      <c r="E358" s="13" t="n">
        <f aca="false">D358-C358</f>
        <v>1.57</v>
      </c>
    </row>
    <row r="359" customFormat="false" ht="15" hidden="false" customHeight="false" outlineLevel="0" collapsed="false">
      <c r="B359" s="39" t="n">
        <v>40116</v>
      </c>
      <c r="C359" s="10" t="n">
        <v>0.81</v>
      </c>
      <c r="D359" s="10" t="n">
        <v>2.41</v>
      </c>
      <c r="E359" s="13" t="n">
        <f aca="false">D359-C359</f>
        <v>1.6</v>
      </c>
    </row>
    <row r="360" customFormat="false" ht="15" hidden="false" customHeight="false" outlineLevel="0" collapsed="false">
      <c r="B360" s="39" t="n">
        <v>40123</v>
      </c>
      <c r="C360" s="10" t="n">
        <v>0.67</v>
      </c>
      <c r="D360" s="10" t="n">
        <v>2.35</v>
      </c>
      <c r="E360" s="13" t="n">
        <f aca="false">D360-C360</f>
        <v>1.68</v>
      </c>
    </row>
    <row r="361" customFormat="false" ht="15" hidden="false" customHeight="false" outlineLevel="0" collapsed="false">
      <c r="B361" s="39" t="n">
        <v>40130</v>
      </c>
      <c r="C361" s="10" t="n">
        <v>0.54</v>
      </c>
      <c r="D361" s="10" t="n">
        <v>2.3</v>
      </c>
      <c r="E361" s="13" t="n">
        <f aca="false">D361-C361</f>
        <v>1.76</v>
      </c>
    </row>
    <row r="362" customFormat="false" ht="15" hidden="false" customHeight="false" outlineLevel="0" collapsed="false">
      <c r="B362" s="39" t="n">
        <v>40137</v>
      </c>
      <c r="C362" s="10" t="n">
        <v>0.42</v>
      </c>
      <c r="D362" s="10" t="n">
        <v>2.19</v>
      </c>
      <c r="E362" s="13" t="n">
        <f aca="false">D362-C362</f>
        <v>1.77</v>
      </c>
    </row>
    <row r="363" customFormat="false" ht="15" hidden="false" customHeight="false" outlineLevel="0" collapsed="false">
      <c r="B363" s="39" t="n">
        <v>40144</v>
      </c>
      <c r="C363" s="10" t="n">
        <v>0.33</v>
      </c>
      <c r="D363" s="10" t="n">
        <v>2.12</v>
      </c>
      <c r="E363" s="13" t="n">
        <f aca="false">D363-C363</f>
        <v>1.79</v>
      </c>
    </row>
    <row r="364" customFormat="false" ht="15" hidden="false" customHeight="false" outlineLevel="0" collapsed="false">
      <c r="B364" s="39" t="n">
        <v>40151</v>
      </c>
      <c r="C364" s="10" t="n">
        <v>0.3</v>
      </c>
      <c r="D364" s="10" t="n">
        <v>2.1</v>
      </c>
      <c r="E364" s="13" t="n">
        <f aca="false">D364-C364</f>
        <v>1.8</v>
      </c>
    </row>
    <row r="365" customFormat="false" ht="15" hidden="false" customHeight="false" outlineLevel="0" collapsed="false">
      <c r="B365" s="39" t="n">
        <v>40158</v>
      </c>
      <c r="C365" s="10" t="n">
        <v>0.42</v>
      </c>
      <c r="D365" s="10" t="n">
        <v>2.18</v>
      </c>
      <c r="E365" s="13" t="n">
        <f aca="false">D365-C365</f>
        <v>1.76</v>
      </c>
    </row>
    <row r="366" customFormat="false" ht="15" hidden="false" customHeight="false" outlineLevel="0" collapsed="false">
      <c r="B366" s="39" t="n">
        <v>40165</v>
      </c>
      <c r="C366" s="10" t="n">
        <v>0.41</v>
      </c>
      <c r="D366" s="10" t="n">
        <v>2.31</v>
      </c>
      <c r="E366" s="13" t="n">
        <f aca="false">D366-C366</f>
        <v>1.9</v>
      </c>
    </row>
    <row r="367" customFormat="false" ht="15" hidden="false" customHeight="false" outlineLevel="0" collapsed="false">
      <c r="B367" s="39" t="n">
        <v>40172</v>
      </c>
      <c r="C367" s="10" t="n">
        <v>0.49</v>
      </c>
      <c r="D367" s="10" t="n">
        <v>2.5</v>
      </c>
      <c r="E367" s="13" t="n">
        <f aca="false">D367-C367</f>
        <v>2.01</v>
      </c>
    </row>
    <row r="368" customFormat="false" ht="15" hidden="false" customHeight="false" outlineLevel="0" collapsed="false">
      <c r="B368" s="39" t="n">
        <v>40179</v>
      </c>
      <c r="C368" s="10" t="n">
        <v>0.53</v>
      </c>
      <c r="D368" s="10" t="n">
        <v>2.64</v>
      </c>
      <c r="E368" s="13" t="n">
        <f aca="false">D368-C368</f>
        <v>2.11</v>
      </c>
    </row>
    <row r="369" customFormat="false" ht="15" hidden="false" customHeight="false" outlineLevel="0" collapsed="false">
      <c r="B369" s="39" t="n">
        <v>40186</v>
      </c>
      <c r="C369" s="10" t="n">
        <v>0.44</v>
      </c>
      <c r="D369" s="10" t="n">
        <v>2.6</v>
      </c>
      <c r="E369" s="13" t="n">
        <f aca="false">D369-C369</f>
        <v>2.16</v>
      </c>
    </row>
    <row r="370" customFormat="false" ht="15" hidden="false" customHeight="false" outlineLevel="0" collapsed="false">
      <c r="B370" s="39" t="n">
        <v>40193</v>
      </c>
      <c r="C370" s="10" t="n">
        <v>0.39</v>
      </c>
      <c r="D370" s="10" t="n">
        <v>2.51</v>
      </c>
      <c r="E370" s="13" t="n">
        <f aca="false">D370-C370</f>
        <v>2.12</v>
      </c>
    </row>
    <row r="371" customFormat="false" ht="15" hidden="false" customHeight="false" outlineLevel="0" collapsed="false">
      <c r="B371" s="39" t="n">
        <v>40200</v>
      </c>
      <c r="C371" s="10" t="n">
        <v>0.39</v>
      </c>
      <c r="D371" s="10" t="n">
        <v>2.42</v>
      </c>
      <c r="E371" s="13" t="n">
        <f aca="false">D371-C371</f>
        <v>2.03</v>
      </c>
    </row>
    <row r="372" customFormat="false" ht="15" hidden="false" customHeight="false" outlineLevel="0" collapsed="false">
      <c r="B372" s="39" t="n">
        <v>40207</v>
      </c>
      <c r="C372" s="10" t="n">
        <v>0.44</v>
      </c>
      <c r="D372" s="10" t="n">
        <v>2.39</v>
      </c>
      <c r="E372" s="13" t="n">
        <f aca="false">D372-C372</f>
        <v>1.95</v>
      </c>
    </row>
    <row r="373" customFormat="false" ht="15" hidden="false" customHeight="false" outlineLevel="0" collapsed="false">
      <c r="B373" s="39" t="n">
        <v>40214</v>
      </c>
      <c r="C373" s="10" t="n">
        <v>0.35</v>
      </c>
      <c r="D373" s="10" t="n">
        <v>2.33</v>
      </c>
      <c r="E373" s="13" t="n">
        <f aca="false">D373-C373</f>
        <v>1.98</v>
      </c>
    </row>
    <row r="374" customFormat="false" ht="15" hidden="false" customHeight="false" outlineLevel="0" collapsed="false">
      <c r="B374" s="39" t="n">
        <v>40221</v>
      </c>
      <c r="C374" s="10" t="n">
        <v>0.39</v>
      </c>
      <c r="D374" s="10" t="n">
        <v>2.34</v>
      </c>
      <c r="E374" s="13" t="n">
        <f aca="false">D374-C374</f>
        <v>1.95</v>
      </c>
    </row>
    <row r="375" customFormat="false" ht="15" hidden="false" customHeight="false" outlineLevel="0" collapsed="false">
      <c r="B375" s="39" t="n">
        <v>40228</v>
      </c>
      <c r="C375" s="10" t="n">
        <v>0.43</v>
      </c>
      <c r="D375" s="10" t="n">
        <v>2.42</v>
      </c>
      <c r="E375" s="13" t="n">
        <f aca="false">D375-C375</f>
        <v>1.99</v>
      </c>
    </row>
    <row r="376" customFormat="false" ht="15" hidden="false" customHeight="false" outlineLevel="0" collapsed="false">
      <c r="B376" s="39" t="n">
        <v>40235</v>
      </c>
      <c r="C376" s="10" t="n">
        <v>0.5</v>
      </c>
      <c r="D376" s="10" t="n">
        <v>2.37</v>
      </c>
      <c r="E376" s="13" t="n">
        <f aca="false">D376-C376</f>
        <v>1.87</v>
      </c>
    </row>
    <row r="377" customFormat="false" ht="15" hidden="false" customHeight="false" outlineLevel="0" collapsed="false">
      <c r="B377" s="39" t="n">
        <v>40242</v>
      </c>
      <c r="C377" s="10" t="n">
        <v>0.44</v>
      </c>
      <c r="D377" s="10" t="n">
        <v>2.29</v>
      </c>
      <c r="E377" s="13" t="n">
        <f aca="false">D377-C377</f>
        <v>1.85</v>
      </c>
    </row>
    <row r="378" customFormat="false" ht="15" hidden="false" customHeight="false" outlineLevel="0" collapsed="false">
      <c r="B378" s="39" t="n">
        <v>40249</v>
      </c>
      <c r="C378" s="10" t="n">
        <v>0.49</v>
      </c>
      <c r="D378" s="10" t="n">
        <v>2.39</v>
      </c>
      <c r="E378" s="13" t="n">
        <f aca="false">D378-C378</f>
        <v>1.9</v>
      </c>
    </row>
    <row r="379" customFormat="false" ht="15" hidden="false" customHeight="false" outlineLevel="0" collapsed="false">
      <c r="B379" s="39" t="n">
        <v>40256</v>
      </c>
      <c r="C379" s="10" t="n">
        <v>0.5</v>
      </c>
      <c r="D379" s="10" t="n">
        <v>2.42</v>
      </c>
      <c r="E379" s="13" t="n">
        <f aca="false">D379-C379</f>
        <v>1.92</v>
      </c>
    </row>
    <row r="380" customFormat="false" ht="15" hidden="false" customHeight="false" outlineLevel="0" collapsed="false">
      <c r="B380" s="39" t="n">
        <v>40263</v>
      </c>
      <c r="C380" s="10" t="n">
        <v>0.7</v>
      </c>
      <c r="D380" s="10" t="n">
        <v>2.55</v>
      </c>
      <c r="E380" s="13" t="n">
        <f aca="false">D380-C380</f>
        <v>1.85</v>
      </c>
    </row>
    <row r="381" customFormat="false" ht="15" hidden="false" customHeight="false" outlineLevel="0" collapsed="false">
      <c r="B381" s="39" t="n">
        <v>40270</v>
      </c>
      <c r="C381" s="10" t="n">
        <v>0.76</v>
      </c>
      <c r="D381" s="10" t="n">
        <v>2.6</v>
      </c>
      <c r="E381" s="13" t="n">
        <f aca="false">D381-C381</f>
        <v>1.84</v>
      </c>
    </row>
    <row r="382" customFormat="false" ht="15" hidden="false" customHeight="false" outlineLevel="0" collapsed="false">
      <c r="B382" s="39" t="n">
        <v>40277</v>
      </c>
      <c r="C382" s="10" t="n">
        <v>0.69</v>
      </c>
      <c r="D382" s="10" t="n">
        <v>2.67</v>
      </c>
      <c r="E382" s="13" t="n">
        <f aca="false">D382-C382</f>
        <v>1.98</v>
      </c>
    </row>
    <row r="383" customFormat="false" ht="15" hidden="false" customHeight="false" outlineLevel="0" collapsed="false">
      <c r="B383" s="39" t="n">
        <v>40284</v>
      </c>
      <c r="C383" s="10" t="n">
        <v>0.63</v>
      </c>
      <c r="D383" s="10" t="n">
        <v>2.57</v>
      </c>
      <c r="E383" s="13" t="n">
        <f aca="false">D383-C383</f>
        <v>1.94</v>
      </c>
    </row>
    <row r="384" customFormat="false" ht="15" hidden="false" customHeight="false" outlineLevel="0" collapsed="false">
      <c r="B384" s="39" t="n">
        <v>40291</v>
      </c>
      <c r="C384" s="10" t="n">
        <v>0.61</v>
      </c>
      <c r="D384" s="10" t="n">
        <v>2.56</v>
      </c>
      <c r="E384" s="13" t="n">
        <f aca="false">D384-C384</f>
        <v>1.95</v>
      </c>
    </row>
    <row r="385" customFormat="false" ht="15" hidden="false" customHeight="false" outlineLevel="0" collapsed="false">
      <c r="B385" s="39" t="n">
        <v>40298</v>
      </c>
      <c r="C385" s="10" t="n">
        <v>0.49</v>
      </c>
      <c r="D385" s="10" t="n">
        <v>2.5</v>
      </c>
      <c r="E385" s="13" t="n">
        <f aca="false">D385-C385</f>
        <v>2.01</v>
      </c>
    </row>
    <row r="386" customFormat="false" ht="15" hidden="false" customHeight="false" outlineLevel="0" collapsed="false">
      <c r="B386" s="39" t="n">
        <v>40305</v>
      </c>
      <c r="C386" s="10" t="n">
        <v>0.42</v>
      </c>
      <c r="D386" s="10" t="n">
        <v>2.29</v>
      </c>
      <c r="E386" s="13" t="n">
        <f aca="false">D386-C386</f>
        <v>1.87</v>
      </c>
    </row>
    <row r="387" customFormat="false" ht="15" hidden="false" customHeight="false" outlineLevel="0" collapsed="false">
      <c r="B387" s="39" t="n">
        <v>40312</v>
      </c>
      <c r="C387" s="10" t="n">
        <v>0.38</v>
      </c>
      <c r="D387" s="10" t="n">
        <v>2.25</v>
      </c>
      <c r="E387" s="13" t="n">
        <f aca="false">D387-C387</f>
        <v>1.87</v>
      </c>
    </row>
    <row r="388" customFormat="false" ht="15" hidden="false" customHeight="false" outlineLevel="0" collapsed="false">
      <c r="B388" s="39" t="n">
        <v>40319</v>
      </c>
      <c r="C388" s="10" t="n">
        <v>0.41</v>
      </c>
      <c r="D388" s="10" t="n">
        <v>2.1</v>
      </c>
      <c r="E388" s="13" t="n">
        <f aca="false">D388-C388</f>
        <v>1.69</v>
      </c>
    </row>
    <row r="389" customFormat="false" ht="15" hidden="false" customHeight="false" outlineLevel="0" collapsed="false">
      <c r="B389" s="39" t="n">
        <v>40326</v>
      </c>
      <c r="C389" s="10" t="n">
        <v>0.43</v>
      </c>
      <c r="D389" s="10" t="n">
        <v>2.08</v>
      </c>
      <c r="E389" s="13" t="n">
        <f aca="false">D389-C389</f>
        <v>1.65</v>
      </c>
    </row>
    <row r="390" customFormat="false" ht="15" hidden="false" customHeight="false" outlineLevel="0" collapsed="false">
      <c r="B390" s="39" t="n">
        <v>40333</v>
      </c>
      <c r="C390" s="10" t="n">
        <v>0.39</v>
      </c>
      <c r="D390" s="10" t="n">
        <v>2.1</v>
      </c>
      <c r="E390" s="13" t="n">
        <f aca="false">D390-C390</f>
        <v>1.71</v>
      </c>
    </row>
    <row r="391" customFormat="false" ht="15" hidden="false" customHeight="false" outlineLevel="0" collapsed="false">
      <c r="B391" s="39" t="n">
        <v>40340</v>
      </c>
      <c r="C391" s="10" t="n">
        <v>0.37</v>
      </c>
      <c r="D391" s="10" t="n">
        <v>2.01</v>
      </c>
      <c r="E391" s="13" t="n">
        <f aca="false">D391-C391</f>
        <v>1.64</v>
      </c>
    </row>
    <row r="392" customFormat="false" ht="15" hidden="false" customHeight="false" outlineLevel="0" collapsed="false">
      <c r="B392" s="39" t="n">
        <v>40347</v>
      </c>
      <c r="C392" s="10" t="n">
        <v>0.37</v>
      </c>
      <c r="D392" s="10" t="n">
        <v>2.06</v>
      </c>
      <c r="E392" s="13" t="n">
        <f aca="false">D392-C392</f>
        <v>1.69</v>
      </c>
    </row>
    <row r="393" customFormat="false" ht="15" hidden="false" customHeight="false" outlineLevel="0" collapsed="false">
      <c r="B393" s="39" t="n">
        <v>40354</v>
      </c>
      <c r="C393" s="10" t="n">
        <v>0.31</v>
      </c>
      <c r="D393" s="10" t="n">
        <v>1.96</v>
      </c>
      <c r="E393" s="13" t="n">
        <f aca="false">D393-C393</f>
        <v>1.65</v>
      </c>
    </row>
    <row r="394" customFormat="false" ht="15" hidden="false" customHeight="false" outlineLevel="0" collapsed="false">
      <c r="B394" s="39" t="n">
        <v>40361</v>
      </c>
      <c r="C394" s="10" t="n">
        <v>0.28</v>
      </c>
      <c r="D394" s="10" t="n">
        <v>1.8</v>
      </c>
      <c r="E394" s="13" t="n">
        <f aca="false">D394-C394</f>
        <v>1.52</v>
      </c>
    </row>
    <row r="395" customFormat="false" ht="15" hidden="false" customHeight="false" outlineLevel="0" collapsed="false">
      <c r="B395" s="39" t="n">
        <v>40368</v>
      </c>
      <c r="C395" s="10" t="n">
        <v>0.37</v>
      </c>
      <c r="D395" s="10" t="n">
        <v>1.8</v>
      </c>
      <c r="E395" s="13" t="n">
        <f aca="false">D395-C395</f>
        <v>1.43</v>
      </c>
    </row>
    <row r="396" customFormat="false" ht="15" hidden="false" customHeight="false" outlineLevel="0" collapsed="false">
      <c r="B396" s="39" t="n">
        <v>40375</v>
      </c>
      <c r="C396" s="10" t="n">
        <v>0.35</v>
      </c>
      <c r="D396" s="10" t="n">
        <v>1.81</v>
      </c>
      <c r="E396" s="13" t="n">
        <f aca="false">D396-C396</f>
        <v>1.46</v>
      </c>
    </row>
    <row r="397" customFormat="false" ht="15" hidden="false" customHeight="false" outlineLevel="0" collapsed="false">
      <c r="B397" s="39" t="n">
        <v>40382</v>
      </c>
      <c r="C397" s="10" t="n">
        <v>0.36</v>
      </c>
      <c r="D397" s="10" t="n">
        <v>1.71</v>
      </c>
      <c r="E397" s="13" t="n">
        <f aca="false">D397-C397</f>
        <v>1.35</v>
      </c>
    </row>
    <row r="398" customFormat="false" ht="15" hidden="false" customHeight="false" outlineLevel="0" collapsed="false">
      <c r="B398" s="39" t="n">
        <v>40389</v>
      </c>
      <c r="C398" s="10" t="n">
        <v>0.29</v>
      </c>
      <c r="D398" s="10" t="n">
        <v>1.73</v>
      </c>
      <c r="E398" s="13" t="n">
        <f aca="false">D398-C398</f>
        <v>1.44</v>
      </c>
    </row>
    <row r="399" customFormat="false" ht="15" hidden="false" customHeight="false" outlineLevel="0" collapsed="false">
      <c r="B399" s="39" t="n">
        <v>40396</v>
      </c>
      <c r="C399" s="10" t="n">
        <v>0.08</v>
      </c>
      <c r="D399" s="10" t="n">
        <v>1.58</v>
      </c>
      <c r="E399" s="13" t="n">
        <f aca="false">D399-C399</f>
        <v>1.5</v>
      </c>
    </row>
    <row r="400" customFormat="false" ht="15" hidden="false" customHeight="false" outlineLevel="0" collapsed="false">
      <c r="B400" s="39" t="n">
        <v>40403</v>
      </c>
      <c r="C400" s="10" t="n">
        <v>0.06</v>
      </c>
      <c r="D400" s="10" t="n">
        <v>1.48</v>
      </c>
      <c r="E400" s="13" t="n">
        <f aca="false">D400-C400</f>
        <v>1.42</v>
      </c>
    </row>
    <row r="401" customFormat="false" ht="15" hidden="false" customHeight="false" outlineLevel="0" collapsed="false">
      <c r="B401" s="39" t="n">
        <v>40410</v>
      </c>
      <c r="C401" s="10" t="n">
        <v>0.17</v>
      </c>
      <c r="D401" s="10" t="n">
        <v>1.44</v>
      </c>
      <c r="E401" s="13" t="n">
        <f aca="false">D401-C401</f>
        <v>1.27</v>
      </c>
    </row>
    <row r="402" customFormat="false" ht="15" hidden="false" customHeight="false" outlineLevel="0" collapsed="false">
      <c r="B402" s="39" t="n">
        <v>40417</v>
      </c>
      <c r="C402" s="10" t="n">
        <v>0.19</v>
      </c>
      <c r="D402" s="10" t="n">
        <v>1.41</v>
      </c>
      <c r="E402" s="13" t="n">
        <f aca="false">D402-C402</f>
        <v>1.22</v>
      </c>
    </row>
    <row r="403" customFormat="false" ht="15" hidden="false" customHeight="false" outlineLevel="0" collapsed="false">
      <c r="B403" s="39" t="n">
        <v>40424</v>
      </c>
      <c r="C403" s="10" t="n">
        <v>0.19</v>
      </c>
      <c r="D403" s="10" t="n">
        <v>1.41</v>
      </c>
      <c r="E403" s="13" t="n">
        <f aca="false">D403-C403</f>
        <v>1.22</v>
      </c>
    </row>
    <row r="404" customFormat="false" ht="15" hidden="false" customHeight="false" outlineLevel="0" collapsed="false">
      <c r="B404" s="39" t="n">
        <v>40431</v>
      </c>
      <c r="C404" s="10" t="n">
        <v>0.23</v>
      </c>
      <c r="D404" s="10" t="n">
        <v>1.51</v>
      </c>
      <c r="E404" s="13" t="n">
        <f aca="false">D404-C404</f>
        <v>1.28</v>
      </c>
    </row>
    <row r="405" customFormat="false" ht="15" hidden="false" customHeight="false" outlineLevel="0" collapsed="false">
      <c r="B405" s="39" t="n">
        <v>40438</v>
      </c>
      <c r="C405" s="10" t="n">
        <v>0.18</v>
      </c>
      <c r="D405" s="10" t="n">
        <v>1.47</v>
      </c>
      <c r="E405" s="13" t="n">
        <f aca="false">D405-C405</f>
        <v>1.29</v>
      </c>
    </row>
    <row r="406" customFormat="false" ht="15" hidden="false" customHeight="false" outlineLevel="0" collapsed="false">
      <c r="B406" s="39" t="n">
        <v>40445</v>
      </c>
      <c r="C406" s="10" t="n">
        <v>0.07</v>
      </c>
      <c r="D406" s="10" t="n">
        <v>1.36</v>
      </c>
      <c r="E406" s="13" t="n">
        <f aca="false">D406-C406</f>
        <v>1.29</v>
      </c>
    </row>
    <row r="407" customFormat="false" ht="15" hidden="false" customHeight="false" outlineLevel="0" collapsed="false">
      <c r="B407" s="39" t="n">
        <v>40452</v>
      </c>
      <c r="C407" s="10" t="n">
        <v>-0.03</v>
      </c>
      <c r="D407" s="10" t="n">
        <v>1.27</v>
      </c>
      <c r="E407" s="13" t="n">
        <f aca="false">D407-C407</f>
        <v>1.3</v>
      </c>
    </row>
    <row r="408" customFormat="false" ht="15" hidden="false" customHeight="false" outlineLevel="0" collapsed="false">
      <c r="B408" s="39" t="n">
        <v>40459</v>
      </c>
      <c r="C408" s="10" t="n">
        <v>-0.24</v>
      </c>
      <c r="D408" s="10" t="n">
        <v>1.17</v>
      </c>
      <c r="E408" s="13" t="n">
        <f aca="false">D408-C408</f>
        <v>1.41</v>
      </c>
    </row>
    <row r="409" customFormat="false" ht="15" hidden="false" customHeight="false" outlineLevel="0" collapsed="false">
      <c r="B409" s="39" t="n">
        <v>40466</v>
      </c>
      <c r="C409" s="10" t="n">
        <v>-0.41</v>
      </c>
      <c r="D409" s="10" t="n">
        <v>1.16</v>
      </c>
      <c r="E409" s="13" t="n">
        <f aca="false">D409-C409</f>
        <v>1.57</v>
      </c>
    </row>
    <row r="410" customFormat="false" ht="15" hidden="false" customHeight="false" outlineLevel="0" collapsed="false">
      <c r="B410" s="39" t="n">
        <v>40473</v>
      </c>
      <c r="C410" s="10" t="n">
        <v>-0.38</v>
      </c>
      <c r="D410" s="10" t="n">
        <v>1.14</v>
      </c>
      <c r="E410" s="13" t="n">
        <f aca="false">D410-C410</f>
        <v>1.52</v>
      </c>
    </row>
    <row r="411" customFormat="false" ht="15" hidden="false" customHeight="false" outlineLevel="0" collapsed="false">
      <c r="B411" s="39" t="n">
        <v>40480</v>
      </c>
      <c r="C411" s="10" t="n">
        <v>-0.33</v>
      </c>
      <c r="D411" s="10" t="n">
        <v>1.24</v>
      </c>
      <c r="E411" s="13" t="n">
        <f aca="false">D411-C411</f>
        <v>1.57</v>
      </c>
    </row>
    <row r="412" customFormat="false" ht="15" hidden="false" customHeight="false" outlineLevel="0" collapsed="false">
      <c r="B412" s="39" t="n">
        <v>40487</v>
      </c>
      <c r="C412" s="10" t="n">
        <v>-0.41</v>
      </c>
      <c r="D412" s="10" t="n">
        <v>1.11</v>
      </c>
      <c r="E412" s="13" t="n">
        <f aca="false">D412-C412</f>
        <v>1.52</v>
      </c>
    </row>
    <row r="413" customFormat="false" ht="15" hidden="false" customHeight="false" outlineLevel="0" collapsed="false">
      <c r="B413" s="39" t="n">
        <v>40494</v>
      </c>
      <c r="C413" s="10" t="n">
        <v>-0.34</v>
      </c>
      <c r="D413" s="10" t="n">
        <v>1.25</v>
      </c>
      <c r="E413" s="13" t="n">
        <f aca="false">D413-C413</f>
        <v>1.59</v>
      </c>
    </row>
    <row r="414" customFormat="false" ht="15" hidden="false" customHeight="false" outlineLevel="0" collapsed="false">
      <c r="B414" s="39" t="n">
        <v>40501</v>
      </c>
      <c r="C414" s="10" t="n">
        <v>-0.04</v>
      </c>
      <c r="D414" s="10" t="n">
        <v>1.51</v>
      </c>
      <c r="E414" s="13" t="n">
        <f aca="false">D414-C414</f>
        <v>1.55</v>
      </c>
    </row>
    <row r="415" customFormat="false" ht="15" hidden="false" customHeight="false" outlineLevel="0" collapsed="false">
      <c r="B415" s="39" t="n">
        <v>40508</v>
      </c>
      <c r="C415" s="10" t="n">
        <v>-0.1</v>
      </c>
      <c r="D415" s="10" t="n">
        <v>1.48</v>
      </c>
      <c r="E415" s="13" t="n">
        <f aca="false">D415-C415</f>
        <v>1.58</v>
      </c>
    </row>
    <row r="416" customFormat="false" ht="15" hidden="false" customHeight="false" outlineLevel="0" collapsed="false">
      <c r="B416" s="39" t="n">
        <v>40515</v>
      </c>
      <c r="C416" s="10" t="n">
        <v>-0.01</v>
      </c>
      <c r="D416" s="10" t="n">
        <v>1.59</v>
      </c>
      <c r="E416" s="13" t="n">
        <f aca="false">D416-C416</f>
        <v>1.6</v>
      </c>
    </row>
    <row r="417" customFormat="false" ht="15" hidden="false" customHeight="false" outlineLevel="0" collapsed="false">
      <c r="B417" s="39" t="n">
        <v>40522</v>
      </c>
      <c r="C417" s="10" t="n">
        <v>0.15</v>
      </c>
      <c r="D417" s="10" t="n">
        <v>1.8</v>
      </c>
      <c r="E417" s="13" t="n">
        <f aca="false">D417-C417</f>
        <v>1.65</v>
      </c>
    </row>
    <row r="418" customFormat="false" ht="15" hidden="false" customHeight="false" outlineLevel="0" collapsed="false">
      <c r="B418" s="39" t="n">
        <v>40529</v>
      </c>
      <c r="C418" s="10" t="n">
        <v>0.3</v>
      </c>
      <c r="D418" s="10" t="n">
        <v>2.03</v>
      </c>
      <c r="E418" s="13" t="n">
        <f aca="false">D418-C418</f>
        <v>1.73</v>
      </c>
    </row>
    <row r="419" customFormat="false" ht="15" hidden="false" customHeight="false" outlineLevel="0" collapsed="false">
      <c r="B419" s="39" t="n">
        <v>40536</v>
      </c>
      <c r="C419" s="10" t="n">
        <v>0.23</v>
      </c>
      <c r="D419" s="10" t="n">
        <v>2.02</v>
      </c>
      <c r="E419" s="13" t="n">
        <f aca="false">D419-C419</f>
        <v>1.79</v>
      </c>
    </row>
    <row r="420" customFormat="false" ht="15" hidden="false" customHeight="false" outlineLevel="0" collapsed="false">
      <c r="B420" s="39" t="n">
        <v>40543</v>
      </c>
      <c r="C420" s="10" t="n">
        <v>0.25</v>
      </c>
      <c r="D420" s="10" t="n">
        <v>2.07</v>
      </c>
      <c r="E420" s="13" t="n">
        <f aca="false">D420-C420</f>
        <v>1.82</v>
      </c>
    </row>
    <row r="421" customFormat="false" ht="15" hidden="false" customHeight="false" outlineLevel="0" collapsed="false">
      <c r="B421" s="39" t="n">
        <v>40550</v>
      </c>
      <c r="C421" s="10" t="n">
        <v>0.15</v>
      </c>
      <c r="D421" s="10" t="n">
        <v>2.04</v>
      </c>
      <c r="E421" s="13" t="n">
        <f aca="false">D421-C421</f>
        <v>1.89</v>
      </c>
    </row>
    <row r="422" customFormat="false" ht="15" hidden="false" customHeight="false" outlineLevel="0" collapsed="false">
      <c r="B422" s="39" t="n">
        <v>40557</v>
      </c>
      <c r="C422" s="10" t="n">
        <v>0</v>
      </c>
      <c r="D422" s="10" t="n">
        <v>1.96</v>
      </c>
      <c r="E422" s="13" t="n">
        <f aca="false">D422-C422</f>
        <v>1.96</v>
      </c>
    </row>
    <row r="423" customFormat="false" ht="15" hidden="false" customHeight="false" outlineLevel="0" collapsed="false">
      <c r="B423" s="39" t="n">
        <v>40564</v>
      </c>
      <c r="C423" s="10" t="n">
        <v>0.08</v>
      </c>
      <c r="D423" s="10" t="n">
        <v>2.01</v>
      </c>
      <c r="E423" s="13" t="n">
        <f aca="false">D423-C423</f>
        <v>1.93</v>
      </c>
    </row>
    <row r="424" customFormat="false" ht="15" hidden="false" customHeight="false" outlineLevel="0" collapsed="false">
      <c r="B424" s="39" t="n">
        <v>40571</v>
      </c>
      <c r="C424" s="10" t="n">
        <v>0.05</v>
      </c>
      <c r="D424" s="10" t="n">
        <v>1.98</v>
      </c>
      <c r="E424" s="13" t="n">
        <f aca="false">D424-C424</f>
        <v>1.93</v>
      </c>
    </row>
    <row r="425" customFormat="false" ht="15" hidden="false" customHeight="false" outlineLevel="0" collapsed="false">
      <c r="B425" s="39" t="n">
        <v>40578</v>
      </c>
      <c r="C425" s="10" t="n">
        <v>0.11</v>
      </c>
      <c r="D425" s="10" t="n">
        <v>2.1</v>
      </c>
      <c r="E425" s="13" t="n">
        <f aca="false">D425-C425</f>
        <v>1.99</v>
      </c>
    </row>
    <row r="426" customFormat="false" ht="15" hidden="false" customHeight="false" outlineLevel="0" collapsed="false">
      <c r="B426" s="39" t="n">
        <v>40585</v>
      </c>
      <c r="C426" s="10" t="n">
        <v>0.42</v>
      </c>
      <c r="D426" s="10" t="n">
        <v>2.36</v>
      </c>
      <c r="E426" s="13" t="n">
        <f aca="false">D426-C426</f>
        <v>1.94</v>
      </c>
    </row>
    <row r="427" customFormat="false" ht="15" hidden="false" customHeight="false" outlineLevel="0" collapsed="false">
      <c r="B427" s="39" t="n">
        <v>40592</v>
      </c>
      <c r="C427" s="10" t="n">
        <v>0.39</v>
      </c>
      <c r="D427" s="10" t="n">
        <v>2.34</v>
      </c>
      <c r="E427" s="13" t="n">
        <f aca="false">D427-C427</f>
        <v>1.95</v>
      </c>
    </row>
    <row r="428" customFormat="false" ht="15" hidden="false" customHeight="false" outlineLevel="0" collapsed="false">
      <c r="B428" s="39" t="n">
        <v>40599</v>
      </c>
      <c r="C428" s="10" t="n">
        <v>0.02</v>
      </c>
      <c r="D428" s="10" t="n">
        <v>2.18</v>
      </c>
      <c r="E428" s="13" t="n">
        <f aca="false">D428-C428</f>
        <v>2.16</v>
      </c>
    </row>
    <row r="429" customFormat="false" ht="15" hidden="false" customHeight="false" outlineLevel="0" collapsed="false">
      <c r="B429" s="39" t="n">
        <v>40606</v>
      </c>
      <c r="C429" s="10" t="n">
        <v>-0.04</v>
      </c>
      <c r="D429" s="10" t="n">
        <v>2.17</v>
      </c>
      <c r="E429" s="13" t="n">
        <f aca="false">D429-C429</f>
        <v>2.21</v>
      </c>
    </row>
    <row r="430" customFormat="false" ht="15" hidden="false" customHeight="false" outlineLevel="0" collapsed="false">
      <c r="B430" s="39" t="n">
        <v>40613</v>
      </c>
      <c r="C430" s="10" t="n">
        <v>-0.11</v>
      </c>
      <c r="D430" s="10" t="n">
        <v>2.14</v>
      </c>
      <c r="E430" s="13" t="n">
        <f aca="false">D430-C430</f>
        <v>2.25</v>
      </c>
    </row>
    <row r="431" customFormat="false" ht="15" hidden="false" customHeight="false" outlineLevel="0" collapsed="false">
      <c r="B431" s="39" t="n">
        <v>40620</v>
      </c>
      <c r="C431" s="10" t="n">
        <v>-0.2</v>
      </c>
      <c r="D431" s="10" t="n">
        <v>1.95</v>
      </c>
      <c r="E431" s="13" t="n">
        <f aca="false">D431-C431</f>
        <v>2.15</v>
      </c>
    </row>
    <row r="432" customFormat="false" ht="15" hidden="false" customHeight="false" outlineLevel="0" collapsed="false">
      <c r="B432" s="39" t="n">
        <v>40627</v>
      </c>
      <c r="C432" s="10" t="n">
        <v>-0.09</v>
      </c>
      <c r="D432" s="10" t="n">
        <v>2.1</v>
      </c>
      <c r="E432" s="13" t="n">
        <f aca="false">D432-C432</f>
        <v>2.19</v>
      </c>
    </row>
    <row r="433" customFormat="false" ht="15" hidden="false" customHeight="false" outlineLevel="0" collapsed="false">
      <c r="B433" s="39" t="n">
        <v>40634</v>
      </c>
      <c r="C433" s="10" t="n">
        <v>0.03</v>
      </c>
      <c r="D433" s="10" t="n">
        <v>2.23</v>
      </c>
      <c r="E433" s="13" t="n">
        <f aca="false">D433-C433</f>
        <v>2.2</v>
      </c>
    </row>
    <row r="434" customFormat="false" ht="15" hidden="false" customHeight="false" outlineLevel="0" collapsed="false">
      <c r="B434" s="39" t="n">
        <v>40641</v>
      </c>
      <c r="C434" s="10" t="n">
        <v>-0.05</v>
      </c>
      <c r="D434" s="10" t="n">
        <v>2.28</v>
      </c>
      <c r="E434" s="13" t="n">
        <f aca="false">D434-C434</f>
        <v>2.33</v>
      </c>
    </row>
    <row r="435" customFormat="false" ht="15" hidden="false" customHeight="false" outlineLevel="0" collapsed="false">
      <c r="B435" s="39" t="n">
        <v>40648</v>
      </c>
      <c r="C435" s="10" t="n">
        <v>-0.08</v>
      </c>
      <c r="D435" s="10" t="n">
        <v>2.22</v>
      </c>
      <c r="E435" s="13" t="n">
        <f aca="false">D435-C435</f>
        <v>2.3</v>
      </c>
    </row>
    <row r="436" customFormat="false" ht="15" hidden="false" customHeight="false" outlineLevel="0" collapsed="false">
      <c r="B436" s="39" t="n">
        <v>40655</v>
      </c>
      <c r="C436" s="10" t="n">
        <v>-0.13</v>
      </c>
      <c r="D436" s="10" t="n">
        <v>2.12</v>
      </c>
      <c r="E436" s="13" t="n">
        <f aca="false">D436-C436</f>
        <v>2.25</v>
      </c>
    </row>
    <row r="437" customFormat="false" ht="15" hidden="false" customHeight="false" outlineLevel="0" collapsed="false">
      <c r="B437" s="39" t="n">
        <v>40662</v>
      </c>
      <c r="C437" s="10" t="n">
        <v>-0.33</v>
      </c>
      <c r="D437" s="10" t="n">
        <v>2.04</v>
      </c>
      <c r="E437" s="13" t="n">
        <f aca="false">D437-C437</f>
        <v>2.37</v>
      </c>
    </row>
    <row r="438" customFormat="false" ht="15" hidden="false" customHeight="false" outlineLevel="0" collapsed="false">
      <c r="B438" s="39" t="n">
        <v>40669</v>
      </c>
      <c r="C438" s="10" t="n">
        <v>-0.44</v>
      </c>
      <c r="D438" s="10" t="n">
        <v>1.92</v>
      </c>
      <c r="E438" s="13" t="n">
        <f aca="false">D438-C438</f>
        <v>2.36</v>
      </c>
    </row>
    <row r="439" customFormat="false" ht="15" hidden="false" customHeight="false" outlineLevel="0" collapsed="false">
      <c r="B439" s="39" t="n">
        <v>40676</v>
      </c>
      <c r="C439" s="10" t="n">
        <v>-0.36</v>
      </c>
      <c r="D439" s="10" t="n">
        <v>1.87</v>
      </c>
      <c r="E439" s="13" t="n">
        <f aca="false">D439-C439</f>
        <v>2.23</v>
      </c>
    </row>
    <row r="440" customFormat="false" ht="15" hidden="false" customHeight="false" outlineLevel="0" collapsed="false">
      <c r="B440" s="39" t="n">
        <v>40683</v>
      </c>
      <c r="C440" s="10" t="n">
        <v>-0.27</v>
      </c>
      <c r="D440" s="10" t="n">
        <v>1.83</v>
      </c>
      <c r="E440" s="13" t="n">
        <f aca="false">D440-C440</f>
        <v>2.1</v>
      </c>
    </row>
    <row r="441" customFormat="false" ht="15" hidden="false" customHeight="false" outlineLevel="0" collapsed="false">
      <c r="B441" s="39" t="n">
        <v>40690</v>
      </c>
      <c r="C441" s="10" t="n">
        <v>-0.28</v>
      </c>
      <c r="D441" s="10" t="n">
        <v>1.77</v>
      </c>
      <c r="E441" s="13" t="n">
        <f aca="false">D441-C441</f>
        <v>2.05</v>
      </c>
    </row>
    <row r="442" customFormat="false" ht="15" hidden="false" customHeight="false" outlineLevel="0" collapsed="false">
      <c r="B442" s="39" t="n">
        <v>40697</v>
      </c>
      <c r="C442" s="10" t="n">
        <v>-0.38</v>
      </c>
      <c r="D442" s="10" t="n">
        <v>1.63</v>
      </c>
      <c r="E442" s="13" t="n">
        <f aca="false">D442-C442</f>
        <v>2.01</v>
      </c>
    </row>
    <row r="443" customFormat="false" ht="15" hidden="false" customHeight="false" outlineLevel="0" collapsed="false">
      <c r="B443" s="39" t="n">
        <v>40704</v>
      </c>
      <c r="C443" s="10" t="n">
        <v>-0.44</v>
      </c>
      <c r="D443" s="10" t="n">
        <v>1.58</v>
      </c>
      <c r="E443" s="13" t="n">
        <f aca="false">D443-C443</f>
        <v>2.02</v>
      </c>
    </row>
    <row r="444" customFormat="false" ht="15" hidden="false" customHeight="false" outlineLevel="0" collapsed="false">
      <c r="B444" s="39" t="n">
        <v>40711</v>
      </c>
      <c r="C444" s="10" t="n">
        <v>-0.4</v>
      </c>
      <c r="D444" s="10" t="n">
        <v>1.58</v>
      </c>
      <c r="E444" s="13" t="n">
        <f aca="false">D444-C444</f>
        <v>1.98</v>
      </c>
    </row>
    <row r="445" customFormat="false" ht="15" hidden="false" customHeight="false" outlineLevel="0" collapsed="false">
      <c r="B445" s="39" t="n">
        <v>40718</v>
      </c>
      <c r="C445" s="10" t="n">
        <v>-0.34</v>
      </c>
      <c r="D445" s="10" t="n">
        <v>1.52</v>
      </c>
      <c r="E445" s="13" t="n">
        <f aca="false">D445-C445</f>
        <v>1.86</v>
      </c>
    </row>
    <row r="446" customFormat="false" ht="15" hidden="false" customHeight="false" outlineLevel="0" collapsed="false">
      <c r="B446" s="39" t="n">
        <v>40725</v>
      </c>
      <c r="C446" s="10" t="n">
        <v>-0.28</v>
      </c>
      <c r="D446" s="10" t="n">
        <v>1.67</v>
      </c>
      <c r="E446" s="13" t="n">
        <f aca="false">D446-C446</f>
        <v>1.95</v>
      </c>
    </row>
    <row r="447" customFormat="false" ht="15" hidden="false" customHeight="false" outlineLevel="0" collapsed="false">
      <c r="B447" s="39" t="n">
        <v>40732</v>
      </c>
      <c r="C447" s="10" t="n">
        <v>-0.38</v>
      </c>
      <c r="D447" s="10" t="n">
        <v>1.67</v>
      </c>
      <c r="E447" s="13" t="n">
        <f aca="false">D447-C447</f>
        <v>2.05</v>
      </c>
    </row>
    <row r="448" customFormat="false" ht="15" hidden="false" customHeight="false" outlineLevel="0" collapsed="false">
      <c r="B448" s="39" t="n">
        <v>40739</v>
      </c>
      <c r="C448" s="10" t="n">
        <v>-0.52</v>
      </c>
      <c r="D448" s="10" t="n">
        <v>1.48</v>
      </c>
      <c r="E448" s="13" t="n">
        <f aca="false">D448-C448</f>
        <v>2</v>
      </c>
    </row>
    <row r="449" customFormat="false" ht="15" hidden="false" customHeight="false" outlineLevel="0" collapsed="false">
      <c r="B449" s="39" t="n">
        <v>40746</v>
      </c>
      <c r="C449" s="10" t="n">
        <v>-0.52</v>
      </c>
      <c r="D449" s="10" t="n">
        <v>1.5</v>
      </c>
      <c r="E449" s="13" t="n">
        <f aca="false">D449-C449</f>
        <v>2.02</v>
      </c>
    </row>
    <row r="450" customFormat="false" ht="15" hidden="false" customHeight="false" outlineLevel="0" collapsed="false">
      <c r="B450" s="39" t="n">
        <v>40753</v>
      </c>
      <c r="C450" s="10" t="n">
        <v>-0.57</v>
      </c>
      <c r="D450" s="10" t="n">
        <v>1.5</v>
      </c>
      <c r="E450" s="13" t="n">
        <f aca="false">D450-C450</f>
        <v>2.07</v>
      </c>
    </row>
    <row r="451" customFormat="false" ht="15" hidden="false" customHeight="false" outlineLevel="0" collapsed="false">
      <c r="B451" s="39" t="n">
        <v>40760</v>
      </c>
      <c r="C451" s="10" t="n">
        <v>-0.68</v>
      </c>
      <c r="D451" s="10" t="n">
        <v>1.23</v>
      </c>
      <c r="E451" s="13" t="n">
        <f aca="false">D451-C451</f>
        <v>1.91</v>
      </c>
    </row>
    <row r="452" customFormat="false" ht="15" hidden="false" customHeight="false" outlineLevel="0" collapsed="false">
      <c r="B452" s="39" t="n">
        <v>40767</v>
      </c>
      <c r="C452" s="10" t="n">
        <v>-0.84</v>
      </c>
      <c r="D452" s="10" t="n">
        <v>0.99</v>
      </c>
      <c r="E452" s="13" t="n">
        <f aca="false">D452-C452</f>
        <v>1.83</v>
      </c>
    </row>
    <row r="453" customFormat="false" ht="15" hidden="false" customHeight="false" outlineLevel="0" collapsed="false">
      <c r="B453" s="39" t="n">
        <v>40774</v>
      </c>
      <c r="C453" s="10" t="n">
        <v>-0.79</v>
      </c>
      <c r="D453" s="10" t="n">
        <v>0.93</v>
      </c>
      <c r="E453" s="13" t="n">
        <f aca="false">D453-C453</f>
        <v>1.72</v>
      </c>
    </row>
    <row r="454" customFormat="false" ht="15" hidden="false" customHeight="false" outlineLevel="0" collapsed="false">
      <c r="B454" s="39" t="n">
        <v>40781</v>
      </c>
      <c r="C454" s="10" t="n">
        <v>-0.7</v>
      </c>
      <c r="D454" s="10" t="n">
        <v>0.97</v>
      </c>
      <c r="E454" s="13" t="n">
        <f aca="false">D454-C454</f>
        <v>1.67</v>
      </c>
    </row>
    <row r="455" customFormat="false" ht="15" hidden="false" customHeight="false" outlineLevel="0" collapsed="false">
      <c r="B455" s="39" t="n">
        <v>40788</v>
      </c>
      <c r="C455" s="10" t="n">
        <v>-0.77</v>
      </c>
      <c r="D455" s="10" t="n">
        <v>0.93</v>
      </c>
      <c r="E455" s="13" t="n">
        <f aca="false">D455-C455</f>
        <v>1.7</v>
      </c>
    </row>
    <row r="456" customFormat="false" ht="15" hidden="false" customHeight="false" outlineLevel="0" collapsed="false">
      <c r="B456" s="39" t="n">
        <v>40795</v>
      </c>
      <c r="C456" s="10" t="n">
        <v>-0.8</v>
      </c>
      <c r="D456" s="10" t="n">
        <v>0.87</v>
      </c>
      <c r="E456" s="13" t="n">
        <f aca="false">D456-C456</f>
        <v>1.67</v>
      </c>
    </row>
    <row r="457" customFormat="false" ht="15" hidden="false" customHeight="false" outlineLevel="0" collapsed="false">
      <c r="B457" s="39" t="n">
        <v>40802</v>
      </c>
      <c r="C457" s="10" t="n">
        <v>-0.74</v>
      </c>
      <c r="D457" s="10" t="n">
        <v>0.91</v>
      </c>
      <c r="E457" s="13" t="n">
        <f aca="false">D457-C457</f>
        <v>1.65</v>
      </c>
    </row>
    <row r="458" customFormat="false" ht="15" hidden="false" customHeight="false" outlineLevel="0" collapsed="false">
      <c r="B458" s="39" t="n">
        <v>40809</v>
      </c>
      <c r="C458" s="10" t="n">
        <v>-0.73</v>
      </c>
      <c r="D458" s="10" t="n">
        <v>0.85</v>
      </c>
      <c r="E458" s="13" t="n">
        <f aca="false">D458-C458</f>
        <v>1.58</v>
      </c>
    </row>
    <row r="459" customFormat="false" ht="15" hidden="false" customHeight="false" outlineLevel="0" collapsed="false">
      <c r="B459" s="39" t="n">
        <v>40816</v>
      </c>
      <c r="C459" s="10" t="n">
        <v>-0.57</v>
      </c>
      <c r="D459" s="10" t="n">
        <v>0.96</v>
      </c>
      <c r="E459" s="13" t="n">
        <f aca="false">D459-C459</f>
        <v>1.53</v>
      </c>
    </row>
    <row r="460" customFormat="false" ht="15" hidden="false" customHeight="false" outlineLevel="0" collapsed="false">
      <c r="B460" s="39" t="n">
        <v>40823</v>
      </c>
      <c r="C460" s="10" t="n">
        <v>-0.57</v>
      </c>
      <c r="D460" s="10" t="n">
        <v>0.96</v>
      </c>
      <c r="E460" s="13" t="n">
        <f aca="false">D460-C460</f>
        <v>1.53</v>
      </c>
    </row>
    <row r="461" customFormat="false" ht="15" hidden="false" customHeight="false" outlineLevel="0" collapsed="false">
      <c r="B461" s="39" t="n">
        <v>40830</v>
      </c>
      <c r="C461" s="10" t="n">
        <v>-0.51</v>
      </c>
      <c r="D461" s="10" t="n">
        <v>1.14</v>
      </c>
      <c r="E461" s="13" t="n">
        <f aca="false">D461-C461</f>
        <v>1.65</v>
      </c>
    </row>
    <row r="462" customFormat="false" ht="15" hidden="false" customHeight="false" outlineLevel="0" collapsed="false">
      <c r="B462" s="39" t="n">
        <v>40837</v>
      </c>
      <c r="C462" s="10" t="n">
        <v>-0.64</v>
      </c>
      <c r="D462" s="10" t="n">
        <v>1.07</v>
      </c>
      <c r="E462" s="13" t="n">
        <f aca="false">D462-C462</f>
        <v>1.71</v>
      </c>
    </row>
    <row r="463" customFormat="false" ht="15" hidden="false" customHeight="false" outlineLevel="0" collapsed="false">
      <c r="B463" s="39" t="n">
        <v>40844</v>
      </c>
      <c r="C463" s="10" t="n">
        <v>-0.74</v>
      </c>
      <c r="D463" s="10" t="n">
        <v>1.11</v>
      </c>
      <c r="E463" s="13" t="n">
        <f aca="false">D463-C463</f>
        <v>1.85</v>
      </c>
    </row>
    <row r="464" customFormat="false" ht="15" hidden="false" customHeight="false" outlineLevel="0" collapsed="false">
      <c r="B464" s="39" t="n">
        <v>40851</v>
      </c>
      <c r="C464" s="10" t="n">
        <v>-0.98</v>
      </c>
      <c r="D464" s="10" t="n">
        <v>0.91</v>
      </c>
      <c r="E464" s="13" t="n">
        <f aca="false">D464-C464</f>
        <v>1.89</v>
      </c>
    </row>
    <row r="465" customFormat="false" ht="15" hidden="false" customHeight="false" outlineLevel="0" collapsed="false">
      <c r="B465" s="39" t="n">
        <v>40858</v>
      </c>
      <c r="C465" s="10" t="n">
        <v>-1</v>
      </c>
      <c r="D465" s="10" t="n">
        <v>0.9</v>
      </c>
      <c r="E465" s="13" t="n">
        <f aca="false">D465-C465</f>
        <v>1.9</v>
      </c>
    </row>
    <row r="466" customFormat="false" ht="15" hidden="false" customHeight="false" outlineLevel="0" collapsed="false">
      <c r="B466" s="39" t="n">
        <v>40865</v>
      </c>
      <c r="C466" s="10" t="n">
        <v>-0.79</v>
      </c>
      <c r="D466" s="10" t="n">
        <v>0.91</v>
      </c>
      <c r="E466" s="13" t="n">
        <f aca="false">D466-C466</f>
        <v>1.7</v>
      </c>
    </row>
    <row r="467" customFormat="false" ht="15" hidden="false" customHeight="false" outlineLevel="0" collapsed="false">
      <c r="B467" s="39" t="n">
        <v>40872</v>
      </c>
      <c r="C467" s="10" t="n">
        <v>-0.7</v>
      </c>
      <c r="D467" s="10" t="n">
        <v>0.91</v>
      </c>
      <c r="E467" s="13" t="n">
        <f aca="false">D467-C467</f>
        <v>1.61</v>
      </c>
    </row>
    <row r="468" customFormat="false" ht="15" hidden="false" customHeight="false" outlineLevel="0" collapsed="false">
      <c r="B468" s="39" t="n">
        <v>40879</v>
      </c>
      <c r="C468" s="10" t="n">
        <v>-0.79</v>
      </c>
      <c r="D468" s="10" t="n">
        <v>0.94</v>
      </c>
      <c r="E468" s="13" t="n">
        <f aca="false">D468-C468</f>
        <v>1.73</v>
      </c>
    </row>
    <row r="469" customFormat="false" ht="15" hidden="false" customHeight="false" outlineLevel="0" collapsed="false">
      <c r="B469" s="39" t="n">
        <v>40886</v>
      </c>
      <c r="C469" s="10" t="n">
        <v>-0.82</v>
      </c>
      <c r="D469" s="10" t="n">
        <v>0.9</v>
      </c>
      <c r="E469" s="13" t="n">
        <f aca="false">D469-C469</f>
        <v>1.72</v>
      </c>
    </row>
    <row r="470" customFormat="false" ht="15" hidden="false" customHeight="false" outlineLevel="0" collapsed="false">
      <c r="B470" s="39" t="n">
        <v>40893</v>
      </c>
      <c r="C470" s="10" t="n">
        <v>-0.77</v>
      </c>
      <c r="D470" s="10" t="n">
        <v>0.85</v>
      </c>
      <c r="E470" s="13" t="n">
        <f aca="false">D470-C470</f>
        <v>1.62</v>
      </c>
    </row>
    <row r="471" customFormat="false" ht="15" hidden="false" customHeight="false" outlineLevel="0" collapsed="false">
      <c r="B471" s="39" t="n">
        <v>40900</v>
      </c>
      <c r="C471" s="10" t="n">
        <v>-0.78</v>
      </c>
      <c r="D471" s="10" t="n">
        <v>0.9</v>
      </c>
      <c r="E471" s="13" t="n">
        <f aca="false">D471-C471</f>
        <v>1.68</v>
      </c>
    </row>
    <row r="472" customFormat="false" ht="15" hidden="false" customHeight="false" outlineLevel="0" collapsed="false">
      <c r="B472" s="39" t="n">
        <v>40907</v>
      </c>
      <c r="C472" s="10" t="n">
        <v>-0.73</v>
      </c>
      <c r="D472" s="10" t="n">
        <v>0.9</v>
      </c>
      <c r="E472" s="13" t="n">
        <f aca="false">D472-C472</f>
        <v>1.63</v>
      </c>
    </row>
    <row r="473" customFormat="false" ht="15" hidden="false" customHeight="false" outlineLevel="0" collapsed="false">
      <c r="B473" s="39" t="n">
        <v>40914</v>
      </c>
      <c r="C473" s="10" t="n">
        <v>-0.83</v>
      </c>
      <c r="D473" s="10" t="n">
        <v>0.88</v>
      </c>
      <c r="E473" s="13" t="n">
        <f aca="false">D473-C473</f>
        <v>1.71</v>
      </c>
    </row>
    <row r="474" customFormat="false" ht="15" hidden="false" customHeight="false" outlineLevel="0" collapsed="false">
      <c r="B474" s="39" t="n">
        <v>40921</v>
      </c>
      <c r="C474" s="10" t="n">
        <v>-0.86</v>
      </c>
      <c r="D474" s="10" t="n">
        <v>0.83</v>
      </c>
      <c r="E474" s="13" t="n">
        <f aca="false">D474-C474</f>
        <v>1.69</v>
      </c>
    </row>
    <row r="475" customFormat="false" ht="15" hidden="false" customHeight="false" outlineLevel="0" collapsed="false">
      <c r="B475" s="39" t="n">
        <v>40928</v>
      </c>
      <c r="C475" s="10" t="n">
        <v>-0.89</v>
      </c>
      <c r="D475" s="10" t="n">
        <v>0.85</v>
      </c>
      <c r="E475" s="13" t="n">
        <f aca="false">D475-C475</f>
        <v>1.74</v>
      </c>
    </row>
    <row r="476" customFormat="false" ht="15" hidden="false" customHeight="false" outlineLevel="0" collapsed="false">
      <c r="B476" s="39" t="n">
        <v>40935</v>
      </c>
      <c r="C476" s="10" t="n">
        <v>-0.99</v>
      </c>
      <c r="D476" s="10" t="n">
        <v>0.84</v>
      </c>
      <c r="E476" s="13" t="n">
        <f aca="false">D476-C476</f>
        <v>1.83</v>
      </c>
    </row>
    <row r="477" customFormat="false" ht="15" hidden="false" customHeight="false" outlineLevel="0" collapsed="false">
      <c r="B477" s="39" t="n">
        <v>40942</v>
      </c>
      <c r="C477" s="10" t="n">
        <v>-1.15</v>
      </c>
      <c r="D477" s="10" t="n">
        <v>0.73</v>
      </c>
      <c r="E477" s="13" t="n">
        <f aca="false">D477-C477</f>
        <v>1.88</v>
      </c>
    </row>
    <row r="478" customFormat="false" ht="15" hidden="false" customHeight="false" outlineLevel="0" collapsed="false">
      <c r="B478" s="39" t="n">
        <v>40949</v>
      </c>
      <c r="C478" s="10" t="n">
        <v>-1.1</v>
      </c>
      <c r="D478" s="10" t="n">
        <v>0.81</v>
      </c>
      <c r="E478" s="13" t="n">
        <f aca="false">D478-C478</f>
        <v>1.91</v>
      </c>
    </row>
    <row r="479" customFormat="false" ht="15" hidden="false" customHeight="false" outlineLevel="0" collapsed="false">
      <c r="B479" s="39" t="n">
        <v>40956</v>
      </c>
      <c r="C479" s="10" t="n">
        <v>-1.09</v>
      </c>
      <c r="D479" s="10" t="n">
        <v>0.84</v>
      </c>
      <c r="E479" s="13" t="n">
        <f aca="false">D479-C479</f>
        <v>1.93</v>
      </c>
    </row>
    <row r="480" customFormat="false" ht="15" hidden="false" customHeight="false" outlineLevel="0" collapsed="false">
      <c r="B480" s="39" t="n">
        <v>40963</v>
      </c>
      <c r="C480" s="10" t="n">
        <v>-1.12</v>
      </c>
      <c r="D480" s="10" t="n">
        <v>0.89</v>
      </c>
      <c r="E480" s="13" t="n">
        <f aca="false">D480-C480</f>
        <v>2.01</v>
      </c>
    </row>
    <row r="481" customFormat="false" ht="15" hidden="false" customHeight="false" outlineLevel="0" collapsed="false">
      <c r="B481" s="39" t="n">
        <v>40970</v>
      </c>
      <c r="C481" s="10" t="n">
        <v>-1.13</v>
      </c>
      <c r="D481" s="10" t="n">
        <v>0.86</v>
      </c>
      <c r="E481" s="13" t="n">
        <f aca="false">D481-C481</f>
        <v>1.99</v>
      </c>
    </row>
    <row r="482" customFormat="false" ht="15" hidden="false" customHeight="false" outlineLevel="0" collapsed="false">
      <c r="B482" s="39" t="n">
        <v>40977</v>
      </c>
      <c r="C482" s="10" t="n">
        <v>-1.12</v>
      </c>
      <c r="D482" s="10" t="n">
        <v>0.87</v>
      </c>
      <c r="E482" s="13" t="n">
        <f aca="false">D482-C482</f>
        <v>1.99</v>
      </c>
    </row>
    <row r="483" customFormat="false" ht="15" hidden="false" customHeight="false" outlineLevel="0" collapsed="false">
      <c r="B483" s="39" t="n">
        <v>40984</v>
      </c>
      <c r="C483" s="10" t="n">
        <v>-1.06</v>
      </c>
      <c r="D483" s="10" t="n">
        <v>1.06</v>
      </c>
      <c r="E483" s="13" t="n">
        <f aca="false">D483-C483</f>
        <v>2.12</v>
      </c>
    </row>
    <row r="484" customFormat="false" ht="15" hidden="false" customHeight="false" outlineLevel="0" collapsed="false">
      <c r="B484" s="39" t="n">
        <v>40991</v>
      </c>
      <c r="C484" s="10" t="n">
        <v>-0.94</v>
      </c>
      <c r="D484" s="10" t="n">
        <v>1.16</v>
      </c>
      <c r="E484" s="13" t="n">
        <f aca="false">D484-C484</f>
        <v>2.1</v>
      </c>
    </row>
    <row r="485" customFormat="false" ht="15" hidden="false" customHeight="false" outlineLevel="0" collapsed="false">
      <c r="B485" s="39" t="n">
        <v>40998</v>
      </c>
      <c r="C485" s="10" t="n">
        <v>-0.97</v>
      </c>
      <c r="D485" s="10" t="n">
        <v>1.05</v>
      </c>
      <c r="E485" s="13" t="n">
        <f aca="false">D485-C485</f>
        <v>2.02</v>
      </c>
    </row>
    <row r="486" customFormat="false" ht="15" hidden="false" customHeight="false" outlineLevel="0" collapsed="false">
      <c r="B486" s="39" t="n">
        <v>41005</v>
      </c>
      <c r="C486" s="10" t="n">
        <v>-0.95</v>
      </c>
      <c r="D486" s="10" t="n">
        <v>1.02</v>
      </c>
      <c r="E486" s="13" t="n">
        <f aca="false">D486-C486</f>
        <v>1.97</v>
      </c>
    </row>
    <row r="487" customFormat="false" ht="15" hidden="false" customHeight="false" outlineLevel="0" collapsed="false">
      <c r="B487" s="39" t="n">
        <v>41012</v>
      </c>
      <c r="C487" s="10" t="n">
        <v>-1.02</v>
      </c>
      <c r="D487" s="10" t="n">
        <v>0.88</v>
      </c>
      <c r="E487" s="13" t="n">
        <f aca="false">D487-C487</f>
        <v>1.9</v>
      </c>
    </row>
    <row r="488" customFormat="false" ht="15" hidden="false" customHeight="false" outlineLevel="0" collapsed="false">
      <c r="B488" s="39" t="n">
        <v>41019</v>
      </c>
      <c r="C488" s="10" t="n">
        <v>-1.05</v>
      </c>
      <c r="D488" s="10" t="n">
        <v>0.86</v>
      </c>
      <c r="E488" s="13" t="n">
        <f aca="false">D488-C488</f>
        <v>1.91</v>
      </c>
    </row>
    <row r="489" customFormat="false" ht="15" hidden="false" customHeight="false" outlineLevel="0" collapsed="false">
      <c r="B489" s="39" t="n">
        <v>41026</v>
      </c>
      <c r="C489" s="10" t="n">
        <v>-1.18</v>
      </c>
      <c r="D489" s="10" t="n">
        <v>0.84</v>
      </c>
      <c r="E489" s="13" t="n">
        <f aca="false">D489-C489</f>
        <v>2.02</v>
      </c>
    </row>
    <row r="490" customFormat="false" ht="15" hidden="false" customHeight="false" outlineLevel="0" collapsed="false">
      <c r="B490" s="39" t="n">
        <v>41033</v>
      </c>
      <c r="C490" s="10" t="n">
        <v>-1.2</v>
      </c>
      <c r="D490" s="10" t="n">
        <v>0.82</v>
      </c>
      <c r="E490" s="13" t="n">
        <f aca="false">D490-C490</f>
        <v>2.02</v>
      </c>
    </row>
    <row r="491" customFormat="false" ht="15" hidden="false" customHeight="false" outlineLevel="0" collapsed="false">
      <c r="B491" s="39" t="n">
        <v>41040</v>
      </c>
      <c r="C491" s="10" t="n">
        <v>-1.17</v>
      </c>
      <c r="D491" s="10" t="n">
        <v>0.77</v>
      </c>
      <c r="E491" s="13" t="n">
        <f aca="false">D491-C491</f>
        <v>1.94</v>
      </c>
    </row>
    <row r="492" customFormat="false" ht="15" hidden="false" customHeight="false" outlineLevel="0" collapsed="false">
      <c r="B492" s="39" t="n">
        <v>41047</v>
      </c>
      <c r="C492" s="10" t="n">
        <v>-1.15</v>
      </c>
      <c r="D492" s="10" t="n">
        <v>0.74</v>
      </c>
      <c r="E492" s="13" t="n">
        <f aca="false">D492-C492</f>
        <v>1.89</v>
      </c>
    </row>
    <row r="493" customFormat="false" ht="15" hidden="false" customHeight="false" outlineLevel="0" collapsed="false">
      <c r="B493" s="39" t="n">
        <v>41054</v>
      </c>
      <c r="C493" s="10" t="n">
        <v>-1.06</v>
      </c>
      <c r="D493" s="10" t="n">
        <v>0.76</v>
      </c>
      <c r="E493" s="13" t="n">
        <f aca="false">D493-C493</f>
        <v>1.82</v>
      </c>
    </row>
    <row r="494" customFormat="false" ht="15" hidden="false" customHeight="false" outlineLevel="0" collapsed="false">
      <c r="B494" s="39" t="n">
        <v>41061</v>
      </c>
      <c r="C494" s="10" t="n">
        <v>-1.03</v>
      </c>
      <c r="D494" s="10" t="n">
        <v>0.69</v>
      </c>
      <c r="E494" s="13" t="n">
        <f aca="false">D494-C494</f>
        <v>1.72</v>
      </c>
    </row>
    <row r="495" customFormat="false" ht="15" hidden="false" customHeight="false" outlineLevel="0" collapsed="false">
      <c r="B495" s="39" t="n">
        <v>41068</v>
      </c>
      <c r="C495" s="10" t="n">
        <v>-1.03</v>
      </c>
      <c r="D495" s="10" t="n">
        <v>0.7</v>
      </c>
      <c r="E495" s="13" t="n">
        <f aca="false">D495-C495</f>
        <v>1.73</v>
      </c>
    </row>
    <row r="496" customFormat="false" ht="15" hidden="false" customHeight="false" outlineLevel="0" collapsed="false">
      <c r="B496" s="39" t="n">
        <v>41075</v>
      </c>
      <c r="C496" s="10" t="n">
        <v>-1.1</v>
      </c>
      <c r="D496" s="10" t="n">
        <v>0.71</v>
      </c>
      <c r="E496" s="13" t="n">
        <f aca="false">D496-C496</f>
        <v>1.81</v>
      </c>
    </row>
    <row r="497" customFormat="false" ht="15" hidden="false" customHeight="false" outlineLevel="0" collapsed="false">
      <c r="B497" s="39" t="n">
        <v>41082</v>
      </c>
      <c r="C497" s="10" t="n">
        <v>-1.1</v>
      </c>
      <c r="D497" s="10" t="n">
        <v>0.73</v>
      </c>
      <c r="E497" s="13" t="n">
        <f aca="false">D497-C497</f>
        <v>1.83</v>
      </c>
    </row>
    <row r="498" customFormat="false" ht="15" hidden="false" customHeight="false" outlineLevel="0" collapsed="false">
      <c r="B498" s="39" t="n">
        <v>41089</v>
      </c>
      <c r="C498" s="10" t="n">
        <v>-0.97</v>
      </c>
      <c r="D498" s="10" t="n">
        <v>0.72</v>
      </c>
      <c r="E498" s="13" t="n">
        <f aca="false">D498-C498</f>
        <v>1.69</v>
      </c>
    </row>
    <row r="499" customFormat="false" ht="15" hidden="false" customHeight="false" outlineLevel="0" collapsed="false">
      <c r="B499" s="39" t="n">
        <v>41096</v>
      </c>
      <c r="C499" s="10" t="n">
        <v>-1.09</v>
      </c>
      <c r="D499" s="10" t="n">
        <v>0.67</v>
      </c>
      <c r="E499" s="13" t="n">
        <f aca="false">D499-C499</f>
        <v>1.76</v>
      </c>
    </row>
    <row r="500" customFormat="false" ht="15" hidden="false" customHeight="false" outlineLevel="0" collapsed="false">
      <c r="B500" s="39" t="n">
        <v>41103</v>
      </c>
      <c r="C500" s="10" t="n">
        <v>-1.15</v>
      </c>
      <c r="D500" s="10" t="n">
        <v>0.63</v>
      </c>
      <c r="E500" s="13" t="n">
        <f aca="false">D500-C500</f>
        <v>1.78</v>
      </c>
    </row>
    <row r="501" customFormat="false" ht="15" hidden="false" customHeight="false" outlineLevel="0" collapsed="false">
      <c r="B501" s="39" t="n">
        <v>41110</v>
      </c>
      <c r="C501" s="10" t="n">
        <v>-1.18</v>
      </c>
      <c r="D501" s="10" t="n">
        <v>0.61</v>
      </c>
      <c r="E501" s="13" t="n">
        <f aca="false">D501-C501</f>
        <v>1.79</v>
      </c>
    </row>
    <row r="502" customFormat="false" ht="15" hidden="false" customHeight="false" outlineLevel="0" collapsed="false">
      <c r="B502" s="39" t="n">
        <v>41117</v>
      </c>
      <c r="C502" s="10" t="n">
        <v>-1.14</v>
      </c>
      <c r="D502" s="10" t="n">
        <v>0.59</v>
      </c>
      <c r="E502" s="13" t="n">
        <f aca="false">D502-C502</f>
        <v>1.73</v>
      </c>
    </row>
    <row r="503" customFormat="false" ht="15" hidden="false" customHeight="false" outlineLevel="0" collapsed="false">
      <c r="B503" s="39" t="n">
        <v>41124</v>
      </c>
      <c r="C503" s="10" t="n">
        <v>-1.21</v>
      </c>
      <c r="D503" s="10" t="n">
        <v>0.62</v>
      </c>
      <c r="E503" s="13" t="n">
        <f aca="false">D503-C503</f>
        <v>1.83</v>
      </c>
    </row>
    <row r="504" customFormat="false" ht="15" hidden="false" customHeight="false" outlineLevel="0" collapsed="false">
      <c r="B504" s="39" t="n">
        <v>41131</v>
      </c>
      <c r="C504" s="10" t="n">
        <v>-1.21</v>
      </c>
      <c r="D504" s="10" t="n">
        <v>0.71</v>
      </c>
      <c r="E504" s="13" t="n">
        <f aca="false">D504-C504</f>
        <v>1.92</v>
      </c>
    </row>
    <row r="505" customFormat="false" ht="15" hidden="false" customHeight="false" outlineLevel="0" collapsed="false">
      <c r="B505" s="39" t="n">
        <v>41138</v>
      </c>
      <c r="C505" s="10" t="n">
        <v>-1.11</v>
      </c>
      <c r="D505" s="10" t="n">
        <v>0.78</v>
      </c>
      <c r="E505" s="13" t="n">
        <f aca="false">D505-C505</f>
        <v>1.89</v>
      </c>
    </row>
    <row r="506" customFormat="false" ht="15" hidden="false" customHeight="false" outlineLevel="0" collapsed="false">
      <c r="B506" s="39" t="n">
        <v>41145</v>
      </c>
      <c r="C506" s="10" t="n">
        <v>-1.15</v>
      </c>
      <c r="D506" s="10" t="n">
        <v>0.75</v>
      </c>
      <c r="E506" s="13" t="n">
        <f aca="false">D506-C506</f>
        <v>1.9</v>
      </c>
    </row>
    <row r="507" customFormat="false" ht="15" hidden="false" customHeight="false" outlineLevel="0" collapsed="false">
      <c r="B507" s="39" t="n">
        <v>41152</v>
      </c>
      <c r="C507" s="10" t="n">
        <v>-1.29</v>
      </c>
      <c r="D507" s="10" t="n">
        <v>0.67</v>
      </c>
      <c r="E507" s="13" t="n">
        <f aca="false">D507-C507</f>
        <v>1.96</v>
      </c>
    </row>
    <row r="508" customFormat="false" ht="15" hidden="false" customHeight="false" outlineLevel="0" collapsed="false">
      <c r="B508" s="39" t="n">
        <v>41159</v>
      </c>
      <c r="C508" s="10" t="n">
        <v>-1.36</v>
      </c>
      <c r="D508" s="10" t="n">
        <v>0.64</v>
      </c>
      <c r="E508" s="13" t="n">
        <f aca="false">D508-C508</f>
        <v>2</v>
      </c>
    </row>
    <row r="509" customFormat="false" ht="15" hidden="false" customHeight="false" outlineLevel="0" collapsed="false">
      <c r="B509" s="39" t="n">
        <v>41166</v>
      </c>
      <c r="C509" s="10" t="n">
        <v>-1.51</v>
      </c>
      <c r="D509" s="10" t="n">
        <v>0.68</v>
      </c>
      <c r="E509" s="13" t="n">
        <f aca="false">D509-C509</f>
        <v>2.19</v>
      </c>
    </row>
    <row r="510" customFormat="false" ht="15" hidden="false" customHeight="false" outlineLevel="0" collapsed="false">
      <c r="B510" s="39" t="n">
        <v>41173</v>
      </c>
      <c r="C510" s="10" t="n">
        <v>-1.52</v>
      </c>
      <c r="D510" s="10" t="n">
        <v>0.7</v>
      </c>
      <c r="E510" s="13" t="n">
        <f aca="false">D510-C510</f>
        <v>2.22</v>
      </c>
    </row>
    <row r="511" customFormat="false" ht="15" hidden="false" customHeight="false" outlineLevel="0" collapsed="false">
      <c r="B511" s="39" t="n">
        <v>41180</v>
      </c>
      <c r="C511" s="10" t="n">
        <v>-1.48</v>
      </c>
      <c r="D511" s="10" t="n">
        <v>0.65</v>
      </c>
      <c r="E511" s="13" t="n">
        <f aca="false">D511-C511</f>
        <v>2.13</v>
      </c>
    </row>
    <row r="512" customFormat="false" ht="15" hidden="false" customHeight="false" outlineLevel="0" collapsed="false">
      <c r="B512" s="39" t="n">
        <v>41187</v>
      </c>
      <c r="C512" s="10" t="n">
        <v>-1.56</v>
      </c>
      <c r="D512" s="10" t="n">
        <v>0.63</v>
      </c>
      <c r="E512" s="13" t="n">
        <f aca="false">D512-C512</f>
        <v>2.19</v>
      </c>
    </row>
    <row r="513" customFormat="false" ht="15" hidden="false" customHeight="false" outlineLevel="0" collapsed="false">
      <c r="B513" s="39" t="n">
        <v>41194</v>
      </c>
      <c r="C513" s="10" t="n">
        <v>-1.54</v>
      </c>
      <c r="D513" s="10" t="n">
        <v>0.67</v>
      </c>
      <c r="E513" s="13" t="n">
        <f aca="false">D513-C513</f>
        <v>2.21</v>
      </c>
    </row>
    <row r="514" customFormat="false" ht="15" hidden="false" customHeight="false" outlineLevel="0" collapsed="false">
      <c r="B514" s="39" t="n">
        <v>41201</v>
      </c>
      <c r="C514" s="10" t="n">
        <v>-1.46</v>
      </c>
      <c r="D514" s="10" t="n">
        <v>0.74</v>
      </c>
      <c r="E514" s="13" t="n">
        <f aca="false">D514-C514</f>
        <v>2.2</v>
      </c>
    </row>
    <row r="515" customFormat="false" ht="15" hidden="false" customHeight="false" outlineLevel="0" collapsed="false">
      <c r="B515" s="39" t="n">
        <v>41208</v>
      </c>
      <c r="C515" s="10" t="n">
        <v>-1.35</v>
      </c>
      <c r="D515" s="10" t="n">
        <v>0.78</v>
      </c>
      <c r="E515" s="13" t="n">
        <f aca="false">D515-C515</f>
        <v>2.13</v>
      </c>
    </row>
    <row r="516" customFormat="false" ht="15" hidden="false" customHeight="false" outlineLevel="0" collapsed="false">
      <c r="B516" s="39" t="n">
        <v>41215</v>
      </c>
      <c r="C516" s="10" t="n">
        <v>-1.39</v>
      </c>
      <c r="D516" s="10" t="n">
        <v>0.73</v>
      </c>
      <c r="E516" s="13" t="n">
        <f aca="false">D516-C516</f>
        <v>2.12</v>
      </c>
    </row>
    <row r="517" customFormat="false" ht="15" hidden="false" customHeight="false" outlineLevel="0" collapsed="false">
      <c r="B517" s="39" t="n">
        <v>41222</v>
      </c>
      <c r="C517" s="10" t="n">
        <v>-1.39</v>
      </c>
      <c r="D517" s="10" t="n">
        <v>0.68</v>
      </c>
      <c r="E517" s="13" t="n">
        <f aca="false">D517-C517</f>
        <v>2.07</v>
      </c>
    </row>
    <row r="518" customFormat="false" ht="15" hidden="false" customHeight="false" outlineLevel="0" collapsed="false">
      <c r="B518" s="39" t="n">
        <v>41229</v>
      </c>
      <c r="C518" s="10" t="n">
        <v>-1.39</v>
      </c>
      <c r="D518" s="10" t="n">
        <v>0.63</v>
      </c>
      <c r="E518" s="13" t="n">
        <f aca="false">D518-C518</f>
        <v>2.02</v>
      </c>
    </row>
    <row r="519" customFormat="false" ht="15" hidden="false" customHeight="false" outlineLevel="0" collapsed="false">
      <c r="D519" s="0" t="n">
        <f aca="false">CORREL(C3:C518,D3:D518)</f>
        <v>0.861230892092672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4"/>
  <sheetViews>
    <sheetView showFormulas="false" showGridLines="true" showRowColHeaders="true" showZeros="true" rightToLeft="false" tabSelected="false" showOutlineSymbols="true" defaultGridColor="true" view="normal" topLeftCell="A21" colorId="64" zoomScale="100" zoomScaleNormal="100" zoomScalePageLayoutView="100" workbookViewId="0">
      <selection pane="topLeft" activeCell="L37" activeCellId="0" sqref="L37"/>
    </sheetView>
  </sheetViews>
  <sheetFormatPr defaultRowHeight="15" zeroHeight="false" outlineLevelRow="0" outlineLevelCol="0"/>
  <cols>
    <col collapsed="false" customWidth="true" hidden="false" outlineLevel="0" max="1" min="1" style="0" width="12.29"/>
    <col collapsed="false" customWidth="true" hidden="false" outlineLevel="0" max="1025" min="2" style="0" width="8.67"/>
  </cols>
  <sheetData>
    <row r="1" customFormat="false" ht="15" hidden="false" customHeight="false" outlineLevel="0" collapsed="false">
      <c r="A1" s="40" t="s">
        <v>34</v>
      </c>
      <c r="B1" s="40" t="s">
        <v>35</v>
      </c>
      <c r="C1" s="40" t="s">
        <v>36</v>
      </c>
      <c r="D1" s="40" t="s">
        <v>37</v>
      </c>
      <c r="E1" s="0" t="s">
        <v>38</v>
      </c>
      <c r="F1" s="0" t="s">
        <v>39</v>
      </c>
      <c r="G1" s="0" t="s">
        <v>40</v>
      </c>
    </row>
    <row r="2" customFormat="false" ht="15" hidden="false" customHeight="false" outlineLevel="0" collapsed="false">
      <c r="A2" s="41" t="n">
        <v>37259</v>
      </c>
      <c r="B2" s="0" t="n">
        <v>117.62</v>
      </c>
      <c r="C2" s="0" t="n">
        <v>17941800</v>
      </c>
      <c r="D2" s="0" t="n">
        <v>95.66</v>
      </c>
      <c r="E2" s="0" t="n">
        <v>115.65</v>
      </c>
      <c r="F2" s="0" t="n">
        <v>117.98</v>
      </c>
      <c r="G2" s="0" t="n">
        <v>115.54</v>
      </c>
    </row>
    <row r="3" customFormat="false" ht="15" hidden="false" customHeight="false" outlineLevel="0" collapsed="false">
      <c r="A3" s="41" t="n">
        <v>37263</v>
      </c>
      <c r="B3" s="0" t="n">
        <v>114.94</v>
      </c>
      <c r="C3" s="0" t="n">
        <v>13786400</v>
      </c>
      <c r="D3" s="0" t="n">
        <v>93.48</v>
      </c>
      <c r="E3" s="0" t="n">
        <v>117.7</v>
      </c>
      <c r="F3" s="0" t="n">
        <v>117.99</v>
      </c>
      <c r="G3" s="0" t="n">
        <v>114.7</v>
      </c>
    </row>
    <row r="4" customFormat="false" ht="15" hidden="false" customHeight="false" outlineLevel="0" collapsed="false">
      <c r="A4" s="41" t="n">
        <v>37270</v>
      </c>
      <c r="B4" s="0" t="n">
        <v>113.15</v>
      </c>
      <c r="C4" s="0" t="n">
        <v>16779800</v>
      </c>
      <c r="D4" s="0" t="n">
        <v>92.02</v>
      </c>
      <c r="E4" s="0" t="n">
        <v>114.65</v>
      </c>
      <c r="F4" s="0" t="n">
        <v>115.39</v>
      </c>
      <c r="G4" s="0" t="n">
        <v>112.67</v>
      </c>
    </row>
    <row r="5" customFormat="false" ht="15" hidden="false" customHeight="false" outlineLevel="0" collapsed="false">
      <c r="A5" s="41" t="n">
        <v>37278</v>
      </c>
      <c r="B5" s="0" t="n">
        <v>113.55</v>
      </c>
      <c r="C5" s="0" t="n">
        <v>12270400</v>
      </c>
      <c r="D5" s="0" t="n">
        <v>92.35</v>
      </c>
      <c r="E5" s="0" t="n">
        <v>113.75</v>
      </c>
      <c r="F5" s="0" t="n">
        <v>114.25</v>
      </c>
      <c r="G5" s="0" t="n">
        <v>112.02</v>
      </c>
    </row>
    <row r="6" customFormat="false" ht="15" hidden="false" customHeight="false" outlineLevel="0" collapsed="false">
      <c r="A6" s="41" t="n">
        <v>37284</v>
      </c>
      <c r="B6" s="0" t="n">
        <v>112.65</v>
      </c>
      <c r="C6" s="0" t="n">
        <v>21753900</v>
      </c>
      <c r="D6" s="0" t="n">
        <v>91.61</v>
      </c>
      <c r="E6" s="0" t="n">
        <v>113.9</v>
      </c>
      <c r="F6" s="0" t="n">
        <v>114.19</v>
      </c>
      <c r="G6" s="0" t="n">
        <v>108.4</v>
      </c>
    </row>
    <row r="7" customFormat="false" ht="15" hidden="false" customHeight="false" outlineLevel="0" collapsed="false">
      <c r="A7" s="41" t="n">
        <v>37291</v>
      </c>
      <c r="B7" s="0" t="n">
        <v>110.09</v>
      </c>
      <c r="C7" s="0" t="n">
        <v>26013300</v>
      </c>
      <c r="D7" s="0" t="n">
        <v>89.53</v>
      </c>
      <c r="E7" s="0" t="n">
        <v>112.23</v>
      </c>
      <c r="F7" s="0" t="n">
        <v>112.23</v>
      </c>
      <c r="G7" s="0" t="n">
        <v>108</v>
      </c>
    </row>
    <row r="8" customFormat="false" ht="15" hidden="false" customHeight="false" outlineLevel="0" collapsed="false">
      <c r="A8" s="41" t="n">
        <v>37298</v>
      </c>
      <c r="B8" s="0" t="n">
        <v>110.89</v>
      </c>
      <c r="C8" s="0" t="n">
        <v>17667300</v>
      </c>
      <c r="D8" s="0" t="n">
        <v>90.18</v>
      </c>
      <c r="E8" s="0" t="n">
        <v>110.05</v>
      </c>
      <c r="F8" s="0" t="n">
        <v>112.97</v>
      </c>
      <c r="G8" s="0" t="n">
        <v>109.82</v>
      </c>
    </row>
    <row r="9" customFormat="false" ht="15" hidden="false" customHeight="false" outlineLevel="0" collapsed="false">
      <c r="A9" s="41" t="n">
        <v>37306</v>
      </c>
      <c r="B9" s="0" t="n">
        <v>109.64</v>
      </c>
      <c r="C9" s="0" t="n">
        <v>24523100</v>
      </c>
      <c r="D9" s="0" t="n">
        <v>89.17</v>
      </c>
      <c r="E9" s="0" t="n">
        <v>110.15</v>
      </c>
      <c r="F9" s="0" t="n">
        <v>110.63</v>
      </c>
      <c r="G9" s="0" t="n">
        <v>107.82</v>
      </c>
    </row>
    <row r="10" customFormat="false" ht="15" hidden="false" customHeight="false" outlineLevel="0" collapsed="false">
      <c r="A10" s="41" t="n">
        <v>37312</v>
      </c>
      <c r="B10" s="0" t="n">
        <v>113.74</v>
      </c>
      <c r="C10" s="0" t="n">
        <v>23686400</v>
      </c>
      <c r="D10" s="0" t="n">
        <v>92.5</v>
      </c>
      <c r="E10" s="0" t="n">
        <v>109.74</v>
      </c>
      <c r="F10" s="0" t="n">
        <v>113.85</v>
      </c>
      <c r="G10" s="0" t="n">
        <v>109.7</v>
      </c>
    </row>
    <row r="11" customFormat="false" ht="15" hidden="false" customHeight="false" outlineLevel="0" collapsed="false">
      <c r="A11" s="41" t="n">
        <v>37319</v>
      </c>
      <c r="B11" s="0" t="n">
        <v>116.99</v>
      </c>
      <c r="C11" s="0" t="n">
        <v>21861500</v>
      </c>
      <c r="D11" s="0" t="n">
        <v>95.14</v>
      </c>
      <c r="E11" s="0" t="n">
        <v>113.9</v>
      </c>
      <c r="F11" s="0" t="n">
        <v>117.9</v>
      </c>
      <c r="G11" s="0" t="n">
        <v>113.65</v>
      </c>
    </row>
    <row r="12" customFormat="false" ht="15" hidden="false" customHeight="false" outlineLevel="0" collapsed="false">
      <c r="A12" s="41" t="n">
        <v>37326</v>
      </c>
      <c r="B12" s="0" t="n">
        <v>116.65</v>
      </c>
      <c r="C12" s="0" t="n">
        <v>16467700</v>
      </c>
      <c r="D12" s="0" t="n">
        <v>95.14</v>
      </c>
      <c r="E12" s="0" t="n">
        <v>116.89</v>
      </c>
      <c r="F12" s="0" t="n">
        <v>117.9</v>
      </c>
      <c r="G12" s="0" t="n">
        <v>115.63</v>
      </c>
    </row>
    <row r="13" customFormat="false" ht="15" hidden="false" customHeight="false" outlineLevel="0" collapsed="false">
      <c r="A13" s="41" t="n">
        <v>37333</v>
      </c>
      <c r="B13" s="0" t="n">
        <v>115.04</v>
      </c>
      <c r="C13" s="0" t="n">
        <v>18731500</v>
      </c>
      <c r="D13" s="0" t="n">
        <v>93.83</v>
      </c>
      <c r="E13" s="0" t="n">
        <v>117.1</v>
      </c>
      <c r="F13" s="0" t="n">
        <v>117.74</v>
      </c>
      <c r="G13" s="0" t="n">
        <v>114.12</v>
      </c>
    </row>
    <row r="14" customFormat="false" ht="15" hidden="false" customHeight="false" outlineLevel="0" collapsed="false">
      <c r="A14" s="41" t="n">
        <v>37340</v>
      </c>
      <c r="B14" s="0" t="n">
        <v>114.52</v>
      </c>
      <c r="C14" s="0" t="n">
        <v>18500100</v>
      </c>
      <c r="D14" s="0" t="n">
        <v>93.4</v>
      </c>
      <c r="E14" s="0" t="n">
        <v>115.09</v>
      </c>
      <c r="F14" s="0" t="n">
        <v>115.77</v>
      </c>
      <c r="G14" s="0" t="n">
        <v>113.3</v>
      </c>
    </row>
    <row r="15" customFormat="false" ht="15" hidden="false" customHeight="false" outlineLevel="0" collapsed="false">
      <c r="A15" s="41" t="n">
        <v>37347</v>
      </c>
      <c r="B15" s="0" t="n">
        <v>112.69</v>
      </c>
      <c r="C15" s="0" t="n">
        <v>20398500</v>
      </c>
      <c r="D15" s="0" t="n">
        <v>91.91</v>
      </c>
      <c r="E15" s="0" t="n">
        <v>114.23</v>
      </c>
      <c r="F15" s="0" t="n">
        <v>115.1</v>
      </c>
      <c r="G15" s="0" t="n">
        <v>112.16</v>
      </c>
    </row>
    <row r="16" customFormat="false" ht="15" hidden="false" customHeight="false" outlineLevel="0" collapsed="false">
      <c r="A16" s="41" t="n">
        <v>37354</v>
      </c>
      <c r="B16" s="0" t="n">
        <v>111.42</v>
      </c>
      <c r="C16" s="0" t="n">
        <v>17839200</v>
      </c>
      <c r="D16" s="0" t="n">
        <v>90.87</v>
      </c>
      <c r="E16" s="0" t="n">
        <v>111.32</v>
      </c>
      <c r="F16" s="0" t="n">
        <v>113.54</v>
      </c>
      <c r="G16" s="0" t="n">
        <v>110.04</v>
      </c>
    </row>
    <row r="17" customFormat="false" ht="15" hidden="false" customHeight="false" outlineLevel="0" collapsed="false">
      <c r="A17" s="41" t="n">
        <v>37361</v>
      </c>
      <c r="B17" s="0" t="n">
        <v>112.88</v>
      </c>
      <c r="C17" s="0" t="n">
        <v>16211900</v>
      </c>
      <c r="D17" s="0" t="n">
        <v>92.06</v>
      </c>
      <c r="E17" s="0" t="n">
        <v>111.62</v>
      </c>
      <c r="F17" s="0" t="n">
        <v>113.67</v>
      </c>
      <c r="G17" s="0" t="n">
        <v>110.2</v>
      </c>
    </row>
    <row r="18" customFormat="false" ht="15" hidden="false" customHeight="false" outlineLevel="0" collapsed="false">
      <c r="A18" s="41" t="n">
        <v>37368</v>
      </c>
      <c r="B18" s="0" t="n">
        <v>107.39</v>
      </c>
      <c r="C18" s="0" t="n">
        <v>19002700</v>
      </c>
      <c r="D18" s="0" t="n">
        <v>87.59</v>
      </c>
      <c r="E18" s="0" t="n">
        <v>112.38</v>
      </c>
      <c r="F18" s="0" t="n">
        <v>112.43</v>
      </c>
      <c r="G18" s="0" t="n">
        <v>107.29</v>
      </c>
    </row>
    <row r="19" customFormat="false" ht="15" hidden="false" customHeight="false" outlineLevel="0" collapsed="false">
      <c r="A19" s="41" t="n">
        <v>37375</v>
      </c>
      <c r="B19" s="0" t="n">
        <v>107.58</v>
      </c>
      <c r="C19" s="0" t="n">
        <v>19125100</v>
      </c>
      <c r="D19" s="0" t="n">
        <v>87.74</v>
      </c>
      <c r="E19" s="0" t="n">
        <v>107.93</v>
      </c>
      <c r="F19" s="0" t="n">
        <v>109.91</v>
      </c>
      <c r="G19" s="0" t="n">
        <v>106.63</v>
      </c>
    </row>
    <row r="20" customFormat="false" ht="15" hidden="false" customHeight="false" outlineLevel="0" collapsed="false">
      <c r="A20" s="41" t="n">
        <v>37382</v>
      </c>
      <c r="B20" s="0" t="n">
        <v>105.72</v>
      </c>
      <c r="C20" s="0" t="n">
        <v>22100400</v>
      </c>
      <c r="D20" s="0" t="n">
        <v>86.22</v>
      </c>
      <c r="E20" s="0" t="n">
        <v>107.64</v>
      </c>
      <c r="F20" s="0" t="n">
        <v>109.36</v>
      </c>
      <c r="G20" s="0" t="n">
        <v>104.9</v>
      </c>
    </row>
    <row r="21" customFormat="false" ht="15" hidden="false" customHeight="false" outlineLevel="0" collapsed="false">
      <c r="A21" s="41" t="n">
        <v>37389</v>
      </c>
      <c r="B21" s="0" t="n">
        <v>110.9</v>
      </c>
      <c r="C21" s="0" t="n">
        <v>26865900</v>
      </c>
      <c r="D21" s="0" t="n">
        <v>90.45</v>
      </c>
      <c r="E21" s="0" t="n">
        <v>106.22</v>
      </c>
      <c r="F21" s="0" t="n">
        <v>111.25</v>
      </c>
      <c r="G21" s="0" t="n">
        <v>105.79</v>
      </c>
    </row>
    <row r="22" customFormat="false" ht="15" hidden="false" customHeight="false" outlineLevel="0" collapsed="false">
      <c r="A22" s="41" t="n">
        <v>37396</v>
      </c>
      <c r="B22" s="0" t="n">
        <v>108.69</v>
      </c>
      <c r="C22" s="0" t="n">
        <v>14462400</v>
      </c>
      <c r="D22" s="0" t="n">
        <v>88.65</v>
      </c>
      <c r="E22" s="0" t="n">
        <v>110.64</v>
      </c>
      <c r="F22" s="0" t="n">
        <v>110.69</v>
      </c>
      <c r="G22" s="0" t="n">
        <v>108</v>
      </c>
    </row>
    <row r="23" customFormat="false" ht="15" hidden="false" customHeight="false" outlineLevel="0" collapsed="false">
      <c r="A23" s="41" t="n">
        <v>37404</v>
      </c>
      <c r="B23" s="0" t="n">
        <v>107.22</v>
      </c>
      <c r="C23" s="0" t="n">
        <v>19263600</v>
      </c>
      <c r="D23" s="0" t="n">
        <v>87.45</v>
      </c>
      <c r="E23" s="0" t="n">
        <v>109.05</v>
      </c>
      <c r="F23" s="0" t="n">
        <v>109.13</v>
      </c>
      <c r="G23" s="0" t="n">
        <v>105.9</v>
      </c>
    </row>
    <row r="24" customFormat="false" ht="15" hidden="false" customHeight="false" outlineLevel="0" collapsed="false">
      <c r="A24" s="41" t="n">
        <v>37410</v>
      </c>
      <c r="B24" s="0" t="n">
        <v>103.34</v>
      </c>
      <c r="C24" s="0" t="n">
        <v>23723700</v>
      </c>
      <c r="D24" s="0" t="n">
        <v>84.28</v>
      </c>
      <c r="E24" s="0" t="n">
        <v>107.09</v>
      </c>
      <c r="F24" s="0" t="n">
        <v>107.6</v>
      </c>
      <c r="G24" s="0" t="n">
        <v>101.72</v>
      </c>
    </row>
    <row r="25" customFormat="false" ht="15" hidden="false" customHeight="false" outlineLevel="0" collapsed="false">
      <c r="A25" s="41" t="n">
        <v>37417</v>
      </c>
      <c r="B25" s="0" t="n">
        <v>101.4</v>
      </c>
      <c r="C25" s="0" t="n">
        <v>26065600</v>
      </c>
      <c r="D25" s="0" t="n">
        <v>82.7</v>
      </c>
      <c r="E25" s="0" t="n">
        <v>103.24</v>
      </c>
      <c r="F25" s="0" t="n">
        <v>104.54</v>
      </c>
      <c r="G25" s="0" t="n">
        <v>98.5</v>
      </c>
    </row>
    <row r="26" customFormat="false" ht="15" hidden="false" customHeight="false" outlineLevel="0" collapsed="false">
      <c r="A26" s="41" t="n">
        <v>37424</v>
      </c>
      <c r="B26" s="0" t="n">
        <v>99.28</v>
      </c>
      <c r="C26" s="0" t="n">
        <v>23539600</v>
      </c>
      <c r="D26" s="0" t="n">
        <v>81.26</v>
      </c>
      <c r="E26" s="0" t="n">
        <v>101.92</v>
      </c>
      <c r="F26" s="0" t="n">
        <v>105.03</v>
      </c>
      <c r="G26" s="0" t="n">
        <v>98.68</v>
      </c>
    </row>
    <row r="27" customFormat="false" ht="15" hidden="false" customHeight="false" outlineLevel="0" collapsed="false">
      <c r="A27" s="41" t="n">
        <v>37431</v>
      </c>
      <c r="B27" s="0" t="n">
        <v>98.96</v>
      </c>
      <c r="C27" s="0" t="n">
        <v>33647700</v>
      </c>
      <c r="D27" s="0" t="n">
        <v>80.99</v>
      </c>
      <c r="E27" s="0" t="n">
        <v>98.61</v>
      </c>
      <c r="F27" s="0" t="n">
        <v>100.89</v>
      </c>
      <c r="G27" s="0" t="n">
        <v>95.19</v>
      </c>
    </row>
    <row r="28" customFormat="false" ht="15" hidden="false" customHeight="false" outlineLevel="0" collapsed="false">
      <c r="A28" s="41" t="n">
        <v>37438</v>
      </c>
      <c r="B28" s="0" t="n">
        <v>99.31</v>
      </c>
      <c r="C28" s="0" t="n">
        <v>26015800</v>
      </c>
      <c r="D28" s="0" t="n">
        <v>81.28</v>
      </c>
      <c r="E28" s="0" t="n">
        <v>99.18</v>
      </c>
      <c r="F28" s="0" t="n">
        <v>99.8</v>
      </c>
      <c r="G28" s="0" t="n">
        <v>93.72</v>
      </c>
    </row>
    <row r="29" customFormat="false" ht="15" hidden="false" customHeight="false" outlineLevel="0" collapsed="false">
      <c r="A29" s="41" t="n">
        <v>37445</v>
      </c>
      <c r="B29" s="0" t="n">
        <v>91.85</v>
      </c>
      <c r="C29" s="0" t="n">
        <v>39351300</v>
      </c>
      <c r="D29" s="0" t="n">
        <v>75.17</v>
      </c>
      <c r="E29" s="0" t="n">
        <v>98.98</v>
      </c>
      <c r="F29" s="0" t="n">
        <v>99.7</v>
      </c>
      <c r="G29" s="0" t="n">
        <v>90.32</v>
      </c>
    </row>
    <row r="30" customFormat="false" ht="15" hidden="false" customHeight="false" outlineLevel="0" collapsed="false">
      <c r="A30" s="41" t="n">
        <v>37452</v>
      </c>
      <c r="B30" s="0" t="n">
        <v>84.71</v>
      </c>
      <c r="C30" s="0" t="n">
        <v>57941900</v>
      </c>
      <c r="D30" s="0" t="n">
        <v>69.33</v>
      </c>
      <c r="E30" s="0" t="n">
        <v>91.64</v>
      </c>
      <c r="F30" s="0" t="n">
        <v>93.3</v>
      </c>
      <c r="G30" s="0" t="n">
        <v>84.3</v>
      </c>
    </row>
    <row r="31" customFormat="false" ht="15" hidden="false" customHeight="false" outlineLevel="0" collapsed="false">
      <c r="A31" s="41" t="n">
        <v>37459</v>
      </c>
      <c r="B31" s="0" t="n">
        <v>85.6</v>
      </c>
      <c r="C31" s="0" t="n">
        <v>77604800</v>
      </c>
      <c r="D31" s="0" t="n">
        <v>70.06</v>
      </c>
      <c r="E31" s="0" t="n">
        <v>84.1</v>
      </c>
      <c r="F31" s="0" t="n">
        <v>85.93</v>
      </c>
      <c r="G31" s="0" t="n">
        <v>77.68</v>
      </c>
    </row>
    <row r="32" customFormat="false" ht="15" hidden="false" customHeight="false" outlineLevel="0" collapsed="false">
      <c r="A32" s="41" t="n">
        <v>37466</v>
      </c>
      <c r="B32" s="0" t="n">
        <v>86.79</v>
      </c>
      <c r="C32" s="0" t="n">
        <v>52807900</v>
      </c>
      <c r="D32" s="0" t="n">
        <v>71.03</v>
      </c>
      <c r="E32" s="0" t="n">
        <v>87.5</v>
      </c>
      <c r="F32" s="0" t="n">
        <v>91.55</v>
      </c>
      <c r="G32" s="0" t="n">
        <v>85.62</v>
      </c>
    </row>
    <row r="33" customFormat="false" ht="15" hidden="false" customHeight="false" outlineLevel="0" collapsed="false">
      <c r="A33" s="41" t="n">
        <v>37473</v>
      </c>
      <c r="B33" s="0" t="n">
        <v>91.29</v>
      </c>
      <c r="C33" s="0" t="n">
        <v>49085900</v>
      </c>
      <c r="D33" s="0" t="n">
        <v>74.72</v>
      </c>
      <c r="E33" s="0" t="n">
        <v>86.49</v>
      </c>
      <c r="F33" s="0" t="n">
        <v>91.94</v>
      </c>
      <c r="G33" s="0" t="n">
        <v>83.55</v>
      </c>
    </row>
    <row r="34" customFormat="false" ht="15" hidden="false" customHeight="false" outlineLevel="0" collapsed="false">
      <c r="A34" s="41" t="n">
        <v>37480</v>
      </c>
      <c r="B34" s="0" t="n">
        <v>93.22</v>
      </c>
      <c r="C34" s="0" t="n">
        <v>43004900</v>
      </c>
      <c r="D34" s="0" t="n">
        <v>76.3</v>
      </c>
      <c r="E34" s="0" t="n">
        <v>89.99</v>
      </c>
      <c r="F34" s="0" t="n">
        <v>94.08</v>
      </c>
      <c r="G34" s="0" t="n">
        <v>88.02</v>
      </c>
    </row>
    <row r="35" customFormat="false" ht="15" hidden="false" customHeight="false" outlineLevel="0" collapsed="false">
      <c r="A35" s="41" t="n">
        <v>37487</v>
      </c>
      <c r="B35" s="0" t="n">
        <v>94.6</v>
      </c>
      <c r="C35" s="0" t="n">
        <v>35184600</v>
      </c>
      <c r="D35" s="0" t="n">
        <v>77.42</v>
      </c>
      <c r="E35" s="0" t="n">
        <v>93.46</v>
      </c>
      <c r="F35" s="0" t="n">
        <v>97.15</v>
      </c>
      <c r="G35" s="0" t="n">
        <v>93.1</v>
      </c>
    </row>
    <row r="36" customFormat="false" ht="15" hidden="false" customHeight="false" outlineLevel="0" collapsed="false">
      <c r="A36" s="41" t="n">
        <v>37494</v>
      </c>
      <c r="B36" s="0" t="n">
        <v>91.78</v>
      </c>
      <c r="C36" s="0" t="n">
        <v>36293700</v>
      </c>
      <c r="D36" s="0" t="n">
        <v>75.12</v>
      </c>
      <c r="E36" s="0" t="n">
        <v>94.91</v>
      </c>
      <c r="F36" s="0" t="n">
        <v>96.25</v>
      </c>
      <c r="G36" s="0" t="n">
        <v>90.81</v>
      </c>
    </row>
    <row r="37" customFormat="false" ht="15" hidden="false" customHeight="false" outlineLevel="0" collapsed="false">
      <c r="A37" s="41" t="n">
        <v>37502</v>
      </c>
      <c r="B37" s="0" t="n">
        <v>90</v>
      </c>
      <c r="C37" s="0" t="n">
        <v>58389700</v>
      </c>
      <c r="D37" s="0" t="n">
        <v>73.66</v>
      </c>
      <c r="E37" s="0" t="n">
        <v>90.73</v>
      </c>
      <c r="F37" s="0" t="n">
        <v>91</v>
      </c>
      <c r="G37" s="0" t="n">
        <v>87.5</v>
      </c>
    </row>
    <row r="38" customFormat="false" ht="15" hidden="false" customHeight="false" outlineLevel="0" collapsed="false">
      <c r="A38" s="41" t="n">
        <v>37508</v>
      </c>
      <c r="B38" s="0" t="n">
        <v>89.67</v>
      </c>
      <c r="C38" s="0" t="n">
        <v>37571700</v>
      </c>
      <c r="D38" s="0" t="n">
        <v>73.39</v>
      </c>
      <c r="E38" s="0" t="n">
        <v>89.1</v>
      </c>
      <c r="F38" s="0" t="n">
        <v>93.33</v>
      </c>
      <c r="G38" s="0" t="n">
        <v>88.25</v>
      </c>
    </row>
    <row r="39" customFormat="false" ht="15" hidden="false" customHeight="false" outlineLevel="0" collapsed="false">
      <c r="A39" s="41" t="n">
        <v>37515</v>
      </c>
      <c r="B39" s="0" t="n">
        <v>84.35</v>
      </c>
      <c r="C39" s="0" t="n">
        <v>45066500</v>
      </c>
      <c r="D39" s="0" t="n">
        <v>69.35</v>
      </c>
      <c r="E39" s="0" t="n">
        <v>89.31</v>
      </c>
      <c r="F39" s="0" t="n">
        <v>91.19</v>
      </c>
      <c r="G39" s="0" t="n">
        <v>84.05</v>
      </c>
    </row>
    <row r="40" customFormat="false" ht="15" hidden="false" customHeight="false" outlineLevel="0" collapsed="false">
      <c r="A40" s="41" t="n">
        <v>37522</v>
      </c>
      <c r="B40" s="0" t="n">
        <v>82.75</v>
      </c>
      <c r="C40" s="0" t="n">
        <v>58796300</v>
      </c>
      <c r="D40" s="0" t="n">
        <v>68.03</v>
      </c>
      <c r="E40" s="0" t="n">
        <v>83.65</v>
      </c>
      <c r="F40" s="0" t="n">
        <v>85.97</v>
      </c>
      <c r="G40" s="0" t="n">
        <v>81.85</v>
      </c>
    </row>
    <row r="41" customFormat="false" ht="15" hidden="false" customHeight="false" outlineLevel="0" collapsed="false">
      <c r="A41" s="41" t="n">
        <v>37529</v>
      </c>
      <c r="B41" s="0" t="n">
        <v>80.8</v>
      </c>
      <c r="C41" s="0" t="n">
        <v>64214800</v>
      </c>
      <c r="D41" s="0" t="n">
        <v>66.43</v>
      </c>
      <c r="E41" s="0" t="n">
        <v>82</v>
      </c>
      <c r="F41" s="0" t="n">
        <v>85.77</v>
      </c>
      <c r="G41" s="0" t="n">
        <v>79.58</v>
      </c>
    </row>
    <row r="42" customFormat="false" ht="15" hidden="false" customHeight="false" outlineLevel="0" collapsed="false">
      <c r="A42" s="41" t="n">
        <v>37536</v>
      </c>
      <c r="B42" s="0" t="n">
        <v>84.16</v>
      </c>
      <c r="C42" s="0" t="n">
        <v>74346500</v>
      </c>
      <c r="D42" s="0" t="n">
        <v>69.19</v>
      </c>
      <c r="E42" s="0" t="n">
        <v>80.06</v>
      </c>
      <c r="F42" s="0" t="n">
        <v>84.73</v>
      </c>
      <c r="G42" s="0" t="n">
        <v>77.07</v>
      </c>
    </row>
    <row r="43" customFormat="false" ht="15" hidden="false" customHeight="false" outlineLevel="0" collapsed="false">
      <c r="A43" s="41" t="n">
        <v>37543</v>
      </c>
      <c r="B43" s="0" t="n">
        <v>88.64</v>
      </c>
      <c r="C43" s="0" t="n">
        <v>60382500</v>
      </c>
      <c r="D43" s="0" t="n">
        <v>72.87</v>
      </c>
      <c r="E43" s="0" t="n">
        <v>83.2</v>
      </c>
      <c r="F43" s="0" t="n">
        <v>89.3</v>
      </c>
      <c r="G43" s="0" t="n">
        <v>83.04</v>
      </c>
    </row>
    <row r="44" customFormat="false" ht="15" hidden="false" customHeight="false" outlineLevel="0" collapsed="false">
      <c r="A44" s="41" t="n">
        <v>37550</v>
      </c>
      <c r="B44" s="0" t="n">
        <v>90.2</v>
      </c>
      <c r="C44" s="0" t="n">
        <v>48078200</v>
      </c>
      <c r="D44" s="0" t="n">
        <v>74.15</v>
      </c>
      <c r="E44" s="0" t="n">
        <v>88.12</v>
      </c>
      <c r="F44" s="0" t="n">
        <v>90.9</v>
      </c>
      <c r="G44" s="0" t="n">
        <v>87.57</v>
      </c>
    </row>
    <row r="45" customFormat="false" ht="15" hidden="false" customHeight="false" outlineLevel="0" collapsed="false">
      <c r="A45" s="41" t="n">
        <v>37557</v>
      </c>
      <c r="B45" s="0" t="n">
        <v>90.27</v>
      </c>
      <c r="C45" s="0" t="n">
        <v>46822400</v>
      </c>
      <c r="D45" s="0" t="n">
        <v>74.21</v>
      </c>
      <c r="E45" s="0" t="n">
        <v>91.15</v>
      </c>
      <c r="F45" s="0" t="n">
        <v>91.29</v>
      </c>
      <c r="G45" s="0" t="n">
        <v>87</v>
      </c>
    </row>
    <row r="46" customFormat="false" ht="15" hidden="false" customHeight="false" outlineLevel="0" collapsed="false">
      <c r="A46" s="41" t="n">
        <v>37564</v>
      </c>
      <c r="B46" s="0" t="n">
        <v>89.65</v>
      </c>
      <c r="C46" s="0" t="n">
        <v>48168300</v>
      </c>
      <c r="D46" s="0" t="n">
        <v>73.7</v>
      </c>
      <c r="E46" s="0" t="n">
        <v>91.8</v>
      </c>
      <c r="F46" s="0" t="n">
        <v>93.07</v>
      </c>
      <c r="G46" s="0" t="n">
        <v>89.52</v>
      </c>
    </row>
    <row r="47" customFormat="false" ht="15" hidden="false" customHeight="false" outlineLevel="0" collapsed="false">
      <c r="A47" s="41" t="n">
        <v>37571</v>
      </c>
      <c r="B47" s="0" t="n">
        <v>91.4</v>
      </c>
      <c r="C47" s="0" t="n">
        <v>41234000</v>
      </c>
      <c r="D47" s="0" t="n">
        <v>75.14</v>
      </c>
      <c r="E47" s="0" t="n">
        <v>89.51</v>
      </c>
      <c r="F47" s="0" t="n">
        <v>91.55</v>
      </c>
      <c r="G47" s="0" t="n">
        <v>87.45</v>
      </c>
    </row>
    <row r="48" customFormat="false" ht="15" hidden="false" customHeight="false" outlineLevel="0" collapsed="false">
      <c r="A48" s="41" t="n">
        <v>37578</v>
      </c>
      <c r="B48" s="0" t="n">
        <v>93.42</v>
      </c>
      <c r="C48" s="0" t="n">
        <v>37214300</v>
      </c>
      <c r="D48" s="0" t="n">
        <v>76.8</v>
      </c>
      <c r="E48" s="0" t="n">
        <v>92.15</v>
      </c>
      <c r="F48" s="0" t="n">
        <v>94.27</v>
      </c>
      <c r="G48" s="0" t="n">
        <v>89.76</v>
      </c>
    </row>
    <row r="49" customFormat="false" ht="15" hidden="false" customHeight="false" outlineLevel="0" collapsed="false">
      <c r="A49" s="41" t="n">
        <v>37585</v>
      </c>
      <c r="B49" s="0" t="n">
        <v>93.98</v>
      </c>
      <c r="C49" s="0" t="n">
        <v>33320200</v>
      </c>
      <c r="D49" s="0" t="n">
        <v>77.26</v>
      </c>
      <c r="E49" s="0" t="n">
        <v>93.43</v>
      </c>
      <c r="F49" s="0" t="n">
        <v>94.95</v>
      </c>
      <c r="G49" s="0" t="n">
        <v>91.62</v>
      </c>
    </row>
    <row r="50" customFormat="false" ht="15" hidden="false" customHeight="false" outlineLevel="0" collapsed="false">
      <c r="A50" s="41" t="n">
        <v>37592</v>
      </c>
      <c r="B50" s="0" t="n">
        <v>92.03</v>
      </c>
      <c r="C50" s="0" t="n">
        <v>46981800</v>
      </c>
      <c r="D50" s="0" t="n">
        <v>75.66</v>
      </c>
      <c r="E50" s="0" t="n">
        <v>95.47</v>
      </c>
      <c r="F50" s="0" t="n">
        <v>96.05</v>
      </c>
      <c r="G50" s="0" t="n">
        <v>89.98</v>
      </c>
    </row>
    <row r="51" customFormat="false" ht="15" hidden="false" customHeight="false" outlineLevel="0" collapsed="false">
      <c r="A51" s="41" t="n">
        <v>37599</v>
      </c>
      <c r="B51" s="0" t="n">
        <v>89.34</v>
      </c>
      <c r="C51" s="0" t="n">
        <v>36127600</v>
      </c>
      <c r="D51" s="0" t="n">
        <v>73.45</v>
      </c>
      <c r="E51" s="0" t="n">
        <v>91.07</v>
      </c>
      <c r="F51" s="0" t="n">
        <v>91.62</v>
      </c>
      <c r="G51" s="0" t="n">
        <v>89.27</v>
      </c>
    </row>
    <row r="52" customFormat="false" ht="15" hidden="false" customHeight="false" outlineLevel="0" collapsed="false">
      <c r="A52" s="41" t="n">
        <v>37606</v>
      </c>
      <c r="B52" s="0" t="n">
        <v>89.99</v>
      </c>
      <c r="C52" s="0" t="n">
        <v>35101200</v>
      </c>
      <c r="D52" s="0" t="n">
        <v>74.35</v>
      </c>
      <c r="E52" s="0" t="n">
        <v>89.82</v>
      </c>
      <c r="F52" s="0" t="n">
        <v>91.79</v>
      </c>
      <c r="G52" s="0" t="n">
        <v>88.6</v>
      </c>
    </row>
    <row r="53" customFormat="false" ht="15" hidden="false" customHeight="false" outlineLevel="0" collapsed="false">
      <c r="A53" s="41" t="n">
        <v>37613</v>
      </c>
      <c r="B53" s="0" t="n">
        <v>87.38</v>
      </c>
      <c r="C53" s="0" t="n">
        <v>18306900</v>
      </c>
      <c r="D53" s="0" t="n">
        <v>72.19</v>
      </c>
      <c r="E53" s="0" t="n">
        <v>89.59</v>
      </c>
      <c r="F53" s="0" t="n">
        <v>90.61</v>
      </c>
      <c r="G53" s="0" t="n">
        <v>87.38</v>
      </c>
    </row>
    <row r="54" customFormat="false" ht="15" hidden="false" customHeight="false" outlineLevel="0" collapsed="false">
      <c r="A54" s="41" t="n">
        <v>37620</v>
      </c>
      <c r="B54" s="0" t="n">
        <v>91.35</v>
      </c>
      <c r="C54" s="0" t="n">
        <v>35185800</v>
      </c>
      <c r="D54" s="0" t="n">
        <v>75.47</v>
      </c>
      <c r="E54" s="0" t="n">
        <v>87.79</v>
      </c>
      <c r="F54" s="0" t="n">
        <v>91.38</v>
      </c>
      <c r="G54" s="0" t="n">
        <v>87.11</v>
      </c>
    </row>
  </sheetData>
  <autoFilter ref="A1:D54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E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3" activeCellId="0" sqref="B23"/>
    </sheetView>
  </sheetViews>
  <sheetFormatPr defaultRowHeight="15" zeroHeight="false" outlineLevelRow="0" outlineLevelCol="0"/>
  <cols>
    <col collapsed="false" customWidth="true" hidden="false" outlineLevel="0" max="1" min="1" style="0" width="8.67"/>
    <col collapsed="false" customWidth="true" hidden="false" outlineLevel="0" max="2" min="2" style="0" width="14.43"/>
    <col collapsed="false" customWidth="true" hidden="false" outlineLevel="0" max="3" min="3" style="0" width="15.15"/>
    <col collapsed="false" customWidth="true" hidden="false" outlineLevel="0" max="4" min="4" style="0" width="12.71"/>
    <col collapsed="false" customWidth="true" hidden="false" outlineLevel="0" max="5" min="5" style="0" width="18.71"/>
    <col collapsed="false" customWidth="true" hidden="false" outlineLevel="0" max="1025" min="6" style="0" width="8.67"/>
  </cols>
  <sheetData>
    <row r="2" customFormat="false" ht="15" hidden="false" customHeight="false" outlineLevel="0" collapsed="false">
      <c r="B2" s="42" t="s">
        <v>41</v>
      </c>
      <c r="C2" s="42"/>
      <c r="D2" s="42"/>
      <c r="E2" s="42"/>
    </row>
    <row r="3" customFormat="false" ht="15" hidden="false" customHeight="false" outlineLevel="0" collapsed="false">
      <c r="B3" s="43" t="s">
        <v>42</v>
      </c>
      <c r="C3" s="44" t="s">
        <v>43</v>
      </c>
      <c r="D3" s="45" t="s">
        <v>44</v>
      </c>
      <c r="E3" s="44" t="s">
        <v>45</v>
      </c>
    </row>
    <row r="4" customFormat="false" ht="15" hidden="false" customHeight="false" outlineLevel="0" collapsed="false">
      <c r="B4" s="46" t="s">
        <v>46</v>
      </c>
      <c r="C4" s="47" t="n">
        <v>500</v>
      </c>
      <c r="D4" s="48" t="n">
        <f aca="false">AVERAGE('Aggregated Scrubbed'!F462:F502)</f>
        <v>132.733414634146</v>
      </c>
      <c r="E4" s="49" t="n">
        <f aca="false">STDEV('Aggregated Scrubbed'!F462:F502)</f>
        <v>6.00725004047447</v>
      </c>
    </row>
    <row r="5" customFormat="false" ht="15" hidden="false" customHeight="false" outlineLevel="0" collapsed="false">
      <c r="B5" s="46" t="s">
        <v>47</v>
      </c>
      <c r="C5" s="47" t="n">
        <v>500</v>
      </c>
      <c r="D5" s="48" t="n">
        <f aca="false">AVERAGE('Aggregated Scrubbed'!B471:B502)</f>
        <v>45.40875</v>
      </c>
      <c r="E5" s="49" t="n">
        <f aca="false">STDEV('Aggregated Scrubbed'!B471:B502)</f>
        <v>2.41619502257098</v>
      </c>
    </row>
    <row r="6" customFormat="false" ht="15" hidden="false" customHeight="false" outlineLevel="0" collapsed="false">
      <c r="B6" s="46" t="s">
        <v>48</v>
      </c>
      <c r="C6" s="47" t="n">
        <v>500</v>
      </c>
      <c r="D6" s="48" t="n">
        <f aca="false">AVERAGE('Aggregated Scrubbed'!Y471:Y502)</f>
        <v>1.204625</v>
      </c>
      <c r="E6" s="49" t="n">
        <f aca="false">STDEV('Aggregated Scrubbed'!Y471:Y502)</f>
        <v>0.00512935888592765</v>
      </c>
    </row>
    <row r="7" customFormat="false" ht="15" hidden="false" customHeight="false" outlineLevel="0" collapsed="false">
      <c r="B7" s="46" t="s">
        <v>49</v>
      </c>
      <c r="C7" s="47" t="n">
        <v>500</v>
      </c>
      <c r="D7" s="48" t="n">
        <f aca="false">AVERAGE('Aggregated Scrubbed'!W471:W502)</f>
        <v>1.288246875</v>
      </c>
      <c r="E7" s="49" t="n">
        <f aca="false">STDEV('Aggregated Scrubbed'!W471:W502)</f>
        <v>0.0362186726424902</v>
      </c>
    </row>
    <row r="8" customFormat="false" ht="15" hidden="false" customHeight="false" outlineLevel="0" collapsed="false">
      <c r="B8" s="46" t="s">
        <v>50</v>
      </c>
      <c r="C8" s="47" t="n">
        <v>500</v>
      </c>
      <c r="D8" s="48" t="n">
        <f aca="false">AVERAGE('Aggregated Scrubbed'!M471:M502)</f>
        <v>111.7121875</v>
      </c>
      <c r="E8" s="49" t="n">
        <f aca="false">STDEV('Aggregated Scrubbed'!M471:M502)</f>
        <v>10.1392398819174</v>
      </c>
    </row>
    <row r="9" customFormat="false" ht="15" hidden="false" customHeight="false" outlineLevel="0" collapsed="false">
      <c r="B9" s="46" t="s">
        <v>51</v>
      </c>
      <c r="C9" s="47" t="n">
        <v>500</v>
      </c>
      <c r="D9" s="48" t="n">
        <f aca="false">AVERAGE('Aggregated Scrubbed'!K3:K502)</f>
        <v>68.77924</v>
      </c>
      <c r="E9" s="49" t="n">
        <f aca="false">STDEV('Aggregated Scrubbed'!K3:K502)</f>
        <v>25.0375569642862</v>
      </c>
    </row>
    <row r="10" customFormat="false" ht="15" hidden="false" customHeight="false" outlineLevel="0" collapsed="false">
      <c r="B10" s="46" t="s">
        <v>52</v>
      </c>
      <c r="C10" s="47" t="n">
        <v>500</v>
      </c>
      <c r="D10" s="48" t="n">
        <f aca="false">AVERAGE('Aggregated Scrubbed'!J3:J502)</f>
        <v>119.558973333333</v>
      </c>
      <c r="E10" s="49" t="n">
        <f aca="false">STDEV('Aggregated Scrubbed'!J3:J502)</f>
        <v>17.7182630768679</v>
      </c>
    </row>
    <row r="11" customFormat="false" ht="15" hidden="false" customHeight="false" outlineLevel="0" collapsed="false">
      <c r="B11" s="46" t="s">
        <v>53</v>
      </c>
      <c r="C11" s="47" t="n">
        <v>500</v>
      </c>
      <c r="D11" s="48" t="n">
        <f aca="false">AVERAGE('Aggregated Scrubbed'!D471:D502)</f>
        <v>18.638125</v>
      </c>
      <c r="E11" s="49" t="n">
        <f aca="false">STDEV('Aggregated Scrubbed'!D471:D502)</f>
        <v>2.8769814350147</v>
      </c>
    </row>
    <row r="12" customFormat="false" ht="15" hidden="false" customHeight="false" outlineLevel="0" collapsed="false">
      <c r="B12" s="46" t="s">
        <v>54</v>
      </c>
      <c r="C12" s="47" t="n">
        <v>500</v>
      </c>
      <c r="D12" s="48" t="n">
        <f aca="false">AVERAGE('Aggregated Scrubbed'!O471:O502)</f>
        <v>1.8653125</v>
      </c>
      <c r="E12" s="49" t="n">
        <f aca="false">STDEV('Aggregated Scrubbed'!O471:O502)</f>
        <v>0.129240570255628</v>
      </c>
    </row>
    <row r="13" customFormat="false" ht="15" hidden="false" customHeight="false" outlineLevel="0" collapsed="false">
      <c r="B13" s="50" t="s">
        <v>55</v>
      </c>
      <c r="C13" s="51" t="n">
        <v>500</v>
      </c>
      <c r="D13" s="52" t="n">
        <f aca="false">AVERAGE('Aggregated Scrubbed'!U471:U502)</f>
        <v>1.786875</v>
      </c>
      <c r="E13" s="53" t="n">
        <f aca="false">STDEV('Aggregated Scrubbed'!U471:U502)</f>
        <v>0.239130649942528</v>
      </c>
    </row>
  </sheetData>
  <mergeCells count="1">
    <mergeCell ref="B2:E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6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1" activeCellId="0" sqref="B21"/>
    </sheetView>
  </sheetViews>
  <sheetFormatPr defaultRowHeight="12.75" zeroHeight="false" outlineLevelRow="0" outlineLevelCol="0"/>
  <cols>
    <col collapsed="false" customWidth="true" hidden="false" outlineLevel="0" max="256" min="1" style="54" width="20.71"/>
    <col collapsed="false" customWidth="true" hidden="false" outlineLevel="0" max="1025" min="257" style="54" width="9.14"/>
  </cols>
  <sheetData>
    <row r="1" customFormat="false" ht="12.75" hidden="false" customHeight="false" outlineLevel="0" collapsed="false">
      <c r="A1" s="54" t="s">
        <v>56</v>
      </c>
    </row>
    <row r="2" customFormat="false" ht="12.75" hidden="false" customHeight="false" outlineLevel="0" collapsed="false">
      <c r="A2" s="54" t="s">
        <v>57</v>
      </c>
    </row>
    <row r="3" customFormat="false" ht="12.75" hidden="false" customHeight="false" outlineLevel="0" collapsed="false">
      <c r="A3" s="54" t="s">
        <v>58</v>
      </c>
    </row>
    <row r="4" customFormat="false" ht="12.75" hidden="false" customHeight="false" outlineLevel="0" collapsed="false">
      <c r="A4" s="54" t="s">
        <v>59</v>
      </c>
    </row>
    <row r="5" customFormat="false" ht="12.75" hidden="false" customHeight="false" outlineLevel="0" collapsed="false">
      <c r="A5" s="54" t="s">
        <v>60</v>
      </c>
    </row>
    <row r="6" customFormat="false" ht="12.75" hidden="false" customHeight="false" outlineLevel="0" collapsed="false">
      <c r="A6" s="54" t="s">
        <v>61</v>
      </c>
    </row>
    <row r="8" customFormat="false" ht="12.75" hidden="false" customHeight="false" outlineLevel="0" collapsed="false">
      <c r="A8" s="54" t="s">
        <v>62</v>
      </c>
      <c r="B8" s="54" t="s">
        <v>63</v>
      </c>
    </row>
    <row r="10" customFormat="false" ht="12.75" hidden="false" customHeight="false" outlineLevel="0" collapsed="false">
      <c r="A10" s="54" t="s">
        <v>64</v>
      </c>
    </row>
    <row r="11" customFormat="false" ht="12.75" hidden="false" customHeight="false" outlineLevel="0" collapsed="false">
      <c r="A11" s="54" t="s">
        <v>65</v>
      </c>
      <c r="B11" s="54" t="s">
        <v>62</v>
      </c>
    </row>
    <row r="12" customFormat="false" ht="12.75" hidden="false" customHeight="false" outlineLevel="0" collapsed="false">
      <c r="A12" s="39" t="n">
        <v>36952</v>
      </c>
      <c r="B12" s="10" t="n">
        <v>4.95</v>
      </c>
    </row>
    <row r="13" customFormat="false" ht="12.75" hidden="false" customHeight="false" outlineLevel="0" collapsed="false">
      <c r="A13" s="39" t="n">
        <v>36959</v>
      </c>
      <c r="B13" s="10" t="n">
        <v>4.95</v>
      </c>
    </row>
    <row r="14" customFormat="false" ht="12.75" hidden="false" customHeight="false" outlineLevel="0" collapsed="false">
      <c r="A14" s="39" t="n">
        <v>36966</v>
      </c>
      <c r="B14" s="10" t="n">
        <v>4.86</v>
      </c>
    </row>
    <row r="15" customFormat="false" ht="12.75" hidden="false" customHeight="false" outlineLevel="0" collapsed="false">
      <c r="A15" s="39" t="n">
        <v>36973</v>
      </c>
      <c r="B15" s="10" t="n">
        <v>4.78</v>
      </c>
    </row>
    <row r="16" customFormat="false" ht="12.75" hidden="false" customHeight="false" outlineLevel="0" collapsed="false">
      <c r="A16" s="39" t="n">
        <v>36980</v>
      </c>
      <c r="B16" s="10" t="n">
        <v>4.95</v>
      </c>
    </row>
    <row r="17" customFormat="false" ht="12.75" hidden="false" customHeight="false" outlineLevel="0" collapsed="false">
      <c r="A17" s="39" t="n">
        <v>36987</v>
      </c>
      <c r="B17" s="10" t="n">
        <v>4.95</v>
      </c>
    </row>
    <row r="18" customFormat="false" ht="12.75" hidden="false" customHeight="false" outlineLevel="0" collapsed="false">
      <c r="A18" s="39" t="n">
        <v>36994</v>
      </c>
      <c r="B18" s="10" t="n">
        <v>5.08</v>
      </c>
    </row>
    <row r="19" customFormat="false" ht="12.75" hidden="false" customHeight="false" outlineLevel="0" collapsed="false">
      <c r="A19" s="39" t="n">
        <v>37001</v>
      </c>
      <c r="B19" s="10" t="n">
        <v>5.24</v>
      </c>
    </row>
    <row r="20" customFormat="false" ht="12.75" hidden="false" customHeight="false" outlineLevel="0" collapsed="false">
      <c r="A20" s="39" t="n">
        <v>37008</v>
      </c>
      <c r="B20" s="10" t="n">
        <v>5.25</v>
      </c>
    </row>
    <row r="21" customFormat="false" ht="12.75" hidden="false" customHeight="false" outlineLevel="0" collapsed="false">
      <c r="A21" s="39" t="n">
        <v>37015</v>
      </c>
      <c r="B21" s="10" t="n">
        <v>5.28</v>
      </c>
    </row>
    <row r="22" customFormat="false" ht="12.75" hidden="false" customHeight="false" outlineLevel="0" collapsed="false">
      <c r="A22" s="39" t="n">
        <v>37022</v>
      </c>
      <c r="B22" s="10" t="n">
        <v>5.29</v>
      </c>
    </row>
    <row r="23" customFormat="false" ht="12.75" hidden="false" customHeight="false" outlineLevel="0" collapsed="false">
      <c r="A23" s="39" t="n">
        <v>37029</v>
      </c>
      <c r="B23" s="10" t="n">
        <v>5.46</v>
      </c>
    </row>
    <row r="24" customFormat="false" ht="12.75" hidden="false" customHeight="false" outlineLevel="0" collapsed="false">
      <c r="A24" s="39" t="n">
        <v>37036</v>
      </c>
      <c r="B24" s="10" t="n">
        <v>5.46</v>
      </c>
    </row>
    <row r="25" customFormat="false" ht="12.75" hidden="false" customHeight="false" outlineLevel="0" collapsed="false">
      <c r="A25" s="39" t="n">
        <v>37043</v>
      </c>
      <c r="B25" s="10" t="n">
        <v>5.48</v>
      </c>
    </row>
    <row r="26" customFormat="false" ht="12.75" hidden="false" customHeight="false" outlineLevel="0" collapsed="false">
      <c r="A26" s="39" t="n">
        <v>37050</v>
      </c>
      <c r="B26" s="10" t="n">
        <v>5.32</v>
      </c>
    </row>
    <row r="27" customFormat="false" ht="12.75" hidden="false" customHeight="false" outlineLevel="0" collapsed="false">
      <c r="A27" s="39" t="n">
        <v>37057</v>
      </c>
      <c r="B27" s="10" t="n">
        <v>5.28</v>
      </c>
    </row>
    <row r="28" customFormat="false" ht="12.75" hidden="false" customHeight="false" outlineLevel="0" collapsed="false">
      <c r="A28" s="39" t="n">
        <v>37064</v>
      </c>
      <c r="B28" s="10" t="n">
        <v>5.23</v>
      </c>
    </row>
    <row r="29" customFormat="false" ht="12.75" hidden="false" customHeight="false" outlineLevel="0" collapsed="false">
      <c r="A29" s="39" t="n">
        <v>37071</v>
      </c>
      <c r="B29" s="10" t="n">
        <v>5.29</v>
      </c>
    </row>
    <row r="30" customFormat="false" ht="12.75" hidden="false" customHeight="false" outlineLevel="0" collapsed="false">
      <c r="A30" s="39" t="n">
        <v>37078</v>
      </c>
      <c r="B30" s="10" t="n">
        <v>5.41</v>
      </c>
    </row>
    <row r="31" customFormat="false" ht="12.75" hidden="false" customHeight="false" outlineLevel="0" collapsed="false">
      <c r="A31" s="39" t="n">
        <v>37085</v>
      </c>
      <c r="B31" s="10" t="n">
        <v>5.31</v>
      </c>
    </row>
    <row r="32" customFormat="false" ht="12.75" hidden="false" customHeight="false" outlineLevel="0" collapsed="false">
      <c r="A32" s="39" t="n">
        <v>37092</v>
      </c>
      <c r="B32" s="10" t="n">
        <v>5.17</v>
      </c>
    </row>
    <row r="33" customFormat="false" ht="12.75" hidden="false" customHeight="false" outlineLevel="0" collapsed="false">
      <c r="A33" s="39" t="n">
        <v>37099</v>
      </c>
      <c r="B33" s="10" t="n">
        <v>5.16</v>
      </c>
    </row>
    <row r="34" customFormat="false" ht="12.75" hidden="false" customHeight="false" outlineLevel="0" collapsed="false">
      <c r="A34" s="39" t="n">
        <v>37106</v>
      </c>
      <c r="B34" s="10" t="n">
        <v>5.13</v>
      </c>
    </row>
    <row r="35" customFormat="false" ht="12.75" hidden="false" customHeight="false" outlineLevel="0" collapsed="false">
      <c r="A35" s="39" t="n">
        <v>37113</v>
      </c>
      <c r="B35" s="10" t="n">
        <v>5.08</v>
      </c>
    </row>
    <row r="36" customFormat="false" ht="12.75" hidden="false" customHeight="false" outlineLevel="0" collapsed="false">
      <c r="A36" s="39" t="n">
        <v>37120</v>
      </c>
      <c r="B36" s="10" t="n">
        <v>4.95</v>
      </c>
    </row>
    <row r="37" customFormat="false" ht="12.75" hidden="false" customHeight="false" outlineLevel="0" collapsed="false">
      <c r="A37" s="39" t="n">
        <v>37127</v>
      </c>
      <c r="B37" s="10" t="n">
        <v>4.9</v>
      </c>
    </row>
    <row r="38" customFormat="false" ht="12.75" hidden="false" customHeight="false" outlineLevel="0" collapsed="false">
      <c r="A38" s="39" t="n">
        <v>37134</v>
      </c>
      <c r="B38" s="10" t="n">
        <v>4.84</v>
      </c>
    </row>
    <row r="39" customFormat="false" ht="12.75" hidden="false" customHeight="false" outlineLevel="0" collapsed="false">
      <c r="A39" s="39" t="n">
        <v>37141</v>
      </c>
      <c r="B39" s="10" t="n">
        <v>4.91</v>
      </c>
    </row>
    <row r="40" customFormat="false" ht="12.75" hidden="false" customHeight="false" outlineLevel="0" collapsed="false">
      <c r="A40" s="39" t="n">
        <v>37148</v>
      </c>
      <c r="B40" s="10" t="n">
        <v>4.68</v>
      </c>
    </row>
    <row r="41" customFormat="false" ht="12.75" hidden="false" customHeight="false" outlineLevel="0" collapsed="false">
      <c r="A41" s="39" t="n">
        <v>37155</v>
      </c>
      <c r="B41" s="10" t="n">
        <v>4.7</v>
      </c>
    </row>
    <row r="42" customFormat="false" ht="12.75" hidden="false" customHeight="false" outlineLevel="0" collapsed="false">
      <c r="A42" s="39" t="n">
        <v>37162</v>
      </c>
      <c r="B42" s="10" t="n">
        <v>4.66</v>
      </c>
    </row>
    <row r="43" customFormat="false" ht="12.75" hidden="false" customHeight="false" outlineLevel="0" collapsed="false">
      <c r="A43" s="39" t="n">
        <v>37169</v>
      </c>
      <c r="B43" s="10" t="n">
        <v>4.53</v>
      </c>
    </row>
    <row r="44" customFormat="false" ht="12.75" hidden="false" customHeight="false" outlineLevel="0" collapsed="false">
      <c r="A44" s="39" t="n">
        <v>37176</v>
      </c>
      <c r="B44" s="10" t="n">
        <v>4.65</v>
      </c>
    </row>
    <row r="45" customFormat="false" ht="12.75" hidden="false" customHeight="false" outlineLevel="0" collapsed="false">
      <c r="A45" s="39" t="n">
        <v>37183</v>
      </c>
      <c r="B45" s="10" t="n">
        <v>4.6</v>
      </c>
    </row>
    <row r="46" customFormat="false" ht="12.75" hidden="false" customHeight="false" outlineLevel="0" collapsed="false">
      <c r="A46" s="39" t="n">
        <v>37190</v>
      </c>
      <c r="B46" s="10" t="n">
        <v>4.6</v>
      </c>
    </row>
    <row r="47" customFormat="false" ht="12.75" hidden="false" customHeight="false" outlineLevel="0" collapsed="false">
      <c r="A47" s="39" t="n">
        <v>37197</v>
      </c>
      <c r="B47" s="10" t="n">
        <v>4.37</v>
      </c>
    </row>
    <row r="48" customFormat="false" ht="12.75" hidden="false" customHeight="false" outlineLevel="0" collapsed="false">
      <c r="A48" s="39" t="n">
        <v>37204</v>
      </c>
      <c r="B48" s="10" t="n">
        <v>4.3</v>
      </c>
    </row>
    <row r="49" customFormat="false" ht="12.75" hidden="false" customHeight="false" outlineLevel="0" collapsed="false">
      <c r="A49" s="39" t="n">
        <v>37211</v>
      </c>
      <c r="B49" s="10" t="n">
        <v>4.66</v>
      </c>
    </row>
    <row r="50" customFormat="false" ht="12.75" hidden="false" customHeight="false" outlineLevel="0" collapsed="false">
      <c r="A50" s="39" t="n">
        <v>37218</v>
      </c>
      <c r="B50" s="10" t="n">
        <v>4.93</v>
      </c>
    </row>
    <row r="51" customFormat="false" ht="12.75" hidden="false" customHeight="false" outlineLevel="0" collapsed="false">
      <c r="A51" s="39" t="n">
        <v>37225</v>
      </c>
      <c r="B51" s="10" t="n">
        <v>4.92</v>
      </c>
    </row>
    <row r="52" customFormat="false" ht="12.75" hidden="false" customHeight="false" outlineLevel="0" collapsed="false">
      <c r="A52" s="39" t="n">
        <v>37232</v>
      </c>
      <c r="B52" s="10" t="n">
        <v>4.92</v>
      </c>
    </row>
    <row r="53" customFormat="false" ht="12.75" hidden="false" customHeight="false" outlineLevel="0" collapsed="false">
      <c r="A53" s="39" t="n">
        <v>37239</v>
      </c>
      <c r="B53" s="10" t="n">
        <v>5.14</v>
      </c>
    </row>
    <row r="54" customFormat="false" ht="12.75" hidden="false" customHeight="false" outlineLevel="0" collapsed="false">
      <c r="A54" s="39" t="n">
        <v>37246</v>
      </c>
      <c r="B54" s="10" t="n">
        <v>5.14</v>
      </c>
    </row>
    <row r="55" customFormat="false" ht="12.75" hidden="false" customHeight="false" outlineLevel="0" collapsed="false">
      <c r="A55" s="39" t="n">
        <v>37253</v>
      </c>
      <c r="B55" s="10" t="n">
        <v>5.17</v>
      </c>
    </row>
    <row r="56" customFormat="false" ht="12.75" hidden="false" customHeight="false" outlineLevel="0" collapsed="false">
      <c r="A56" s="39" t="n">
        <v>37260</v>
      </c>
      <c r="B56" s="10" t="n">
        <v>5.15</v>
      </c>
    </row>
    <row r="57" customFormat="false" ht="12.75" hidden="false" customHeight="false" outlineLevel="0" collapsed="false">
      <c r="A57" s="39" t="n">
        <v>37267</v>
      </c>
      <c r="B57" s="10" t="n">
        <v>5.04</v>
      </c>
    </row>
    <row r="58" customFormat="false" ht="12.75" hidden="false" customHeight="false" outlineLevel="0" collapsed="false">
      <c r="A58" s="39" t="n">
        <v>37274</v>
      </c>
      <c r="B58" s="10" t="n">
        <v>4.92</v>
      </c>
    </row>
    <row r="59" customFormat="false" ht="12.75" hidden="false" customHeight="false" outlineLevel="0" collapsed="false">
      <c r="A59" s="39" t="n">
        <v>37281</v>
      </c>
      <c r="B59" s="10" t="n">
        <v>5.05</v>
      </c>
    </row>
    <row r="60" customFormat="false" ht="12.75" hidden="false" customHeight="false" outlineLevel="0" collapsed="false">
      <c r="A60" s="39" t="n">
        <v>37288</v>
      </c>
      <c r="B60" s="10" t="n">
        <v>5.05</v>
      </c>
    </row>
    <row r="61" customFormat="false" ht="12.75" hidden="false" customHeight="false" outlineLevel="0" collapsed="false">
      <c r="A61" s="39" t="n">
        <v>37295</v>
      </c>
      <c r="B61" s="10" t="n">
        <v>4.92</v>
      </c>
    </row>
    <row r="62" customFormat="false" ht="12.75" hidden="false" customHeight="false" outlineLevel="0" collapsed="false">
      <c r="A62" s="39" t="n">
        <v>37302</v>
      </c>
      <c r="B62" s="10" t="n">
        <v>4.94</v>
      </c>
    </row>
    <row r="63" customFormat="false" ht="12.75" hidden="false" customHeight="false" outlineLevel="0" collapsed="false">
      <c r="A63" s="39" t="n">
        <v>37309</v>
      </c>
      <c r="B63" s="10" t="n">
        <v>4.87</v>
      </c>
    </row>
    <row r="64" customFormat="false" ht="12.75" hidden="false" customHeight="false" outlineLevel="0" collapsed="false">
      <c r="A64" s="39" t="n">
        <v>37316</v>
      </c>
      <c r="B64" s="10" t="n">
        <v>4.9</v>
      </c>
    </row>
    <row r="65" customFormat="false" ht="12.75" hidden="false" customHeight="false" outlineLevel="0" collapsed="false">
      <c r="A65" s="39" t="n">
        <v>37323</v>
      </c>
      <c r="B65" s="10" t="n">
        <v>5.13</v>
      </c>
    </row>
    <row r="66" customFormat="false" ht="12.75" hidden="false" customHeight="false" outlineLevel="0" collapsed="false">
      <c r="A66" s="39" t="n">
        <v>37330</v>
      </c>
      <c r="B66" s="10" t="n">
        <v>5.34</v>
      </c>
    </row>
    <row r="67" customFormat="false" ht="12.75" hidden="false" customHeight="false" outlineLevel="0" collapsed="false">
      <c r="A67" s="39" t="n">
        <v>37337</v>
      </c>
      <c r="B67" s="10" t="n">
        <v>5.37</v>
      </c>
    </row>
    <row r="68" customFormat="false" ht="12.75" hidden="false" customHeight="false" outlineLevel="0" collapsed="false">
      <c r="A68" s="39" t="n">
        <v>37344</v>
      </c>
      <c r="B68" s="10" t="n">
        <v>5.38</v>
      </c>
    </row>
    <row r="69" customFormat="false" ht="12.75" hidden="false" customHeight="false" outlineLevel="0" collapsed="false">
      <c r="A69" s="39" t="n">
        <v>37351</v>
      </c>
      <c r="B69" s="10" t="n">
        <v>5.32</v>
      </c>
    </row>
    <row r="70" customFormat="false" ht="12.75" hidden="false" customHeight="false" outlineLevel="0" collapsed="false">
      <c r="A70" s="39" t="n">
        <v>37358</v>
      </c>
      <c r="B70" s="10" t="n">
        <v>5.22</v>
      </c>
    </row>
    <row r="71" customFormat="false" ht="12.75" hidden="false" customHeight="false" outlineLevel="0" collapsed="false">
      <c r="A71" s="39" t="n">
        <v>37365</v>
      </c>
      <c r="B71" s="10" t="n">
        <v>5.21</v>
      </c>
    </row>
    <row r="72" customFormat="false" ht="12.75" hidden="false" customHeight="false" outlineLevel="0" collapsed="false">
      <c r="A72" s="39" t="n">
        <v>37372</v>
      </c>
      <c r="B72" s="10" t="n">
        <v>5.13</v>
      </c>
    </row>
    <row r="73" customFormat="false" ht="12.75" hidden="false" customHeight="false" outlineLevel="0" collapsed="false">
      <c r="A73" s="39" t="n">
        <v>37379</v>
      </c>
      <c r="B73" s="10" t="n">
        <v>5.11</v>
      </c>
    </row>
    <row r="74" customFormat="false" ht="12.75" hidden="false" customHeight="false" outlineLevel="0" collapsed="false">
      <c r="A74" s="39" t="n">
        <v>37386</v>
      </c>
      <c r="B74" s="10" t="n">
        <v>5.16</v>
      </c>
    </row>
    <row r="75" customFormat="false" ht="12.75" hidden="false" customHeight="false" outlineLevel="0" collapsed="false">
      <c r="A75" s="39" t="n">
        <v>37393</v>
      </c>
      <c r="B75" s="10" t="n">
        <v>5.26</v>
      </c>
    </row>
    <row r="76" customFormat="false" ht="12.75" hidden="false" customHeight="false" outlineLevel="0" collapsed="false">
      <c r="A76" s="39" t="n">
        <v>37400</v>
      </c>
      <c r="B76" s="10" t="n">
        <v>5.17</v>
      </c>
    </row>
    <row r="77" customFormat="false" ht="12.75" hidden="false" customHeight="false" outlineLevel="0" collapsed="false">
      <c r="A77" s="39" t="n">
        <v>37407</v>
      </c>
      <c r="B77" s="10" t="n">
        <v>5.1</v>
      </c>
    </row>
    <row r="78" customFormat="false" ht="12.75" hidden="false" customHeight="false" outlineLevel="0" collapsed="false">
      <c r="A78" s="39" t="n">
        <v>37414</v>
      </c>
      <c r="B78" s="10" t="n">
        <v>5.06</v>
      </c>
    </row>
    <row r="79" customFormat="false" ht="12.75" hidden="false" customHeight="false" outlineLevel="0" collapsed="false">
      <c r="A79" s="39" t="n">
        <v>37421</v>
      </c>
      <c r="B79" s="10" t="n">
        <v>4.97</v>
      </c>
    </row>
    <row r="80" customFormat="false" ht="12.75" hidden="false" customHeight="false" outlineLevel="0" collapsed="false">
      <c r="A80" s="39" t="n">
        <v>37428</v>
      </c>
      <c r="B80" s="10" t="n">
        <v>4.83</v>
      </c>
    </row>
    <row r="81" customFormat="false" ht="12.75" hidden="false" customHeight="false" outlineLevel="0" collapsed="false">
      <c r="A81" s="39" t="n">
        <v>37435</v>
      </c>
      <c r="B81" s="10" t="n">
        <v>4.84</v>
      </c>
    </row>
    <row r="82" customFormat="false" ht="12.75" hidden="false" customHeight="false" outlineLevel="0" collapsed="false">
      <c r="A82" s="39" t="n">
        <v>37442</v>
      </c>
      <c r="B82" s="10" t="n">
        <v>4.83</v>
      </c>
    </row>
    <row r="83" customFormat="false" ht="12.75" hidden="false" customHeight="false" outlineLevel="0" collapsed="false">
      <c r="A83" s="39" t="n">
        <v>37449</v>
      </c>
      <c r="B83" s="10" t="n">
        <v>4.71</v>
      </c>
    </row>
    <row r="84" customFormat="false" ht="12.75" hidden="false" customHeight="false" outlineLevel="0" collapsed="false">
      <c r="A84" s="39" t="n">
        <v>37456</v>
      </c>
      <c r="B84" s="10" t="n">
        <v>4.68</v>
      </c>
    </row>
    <row r="85" customFormat="false" ht="12.75" hidden="false" customHeight="false" outlineLevel="0" collapsed="false">
      <c r="A85" s="39" t="n">
        <v>37463</v>
      </c>
      <c r="B85" s="10" t="n">
        <v>4.47</v>
      </c>
    </row>
    <row r="86" customFormat="false" ht="12.75" hidden="false" customHeight="false" outlineLevel="0" collapsed="false">
      <c r="A86" s="39" t="n">
        <v>37470</v>
      </c>
      <c r="B86" s="10" t="n">
        <v>4.52</v>
      </c>
    </row>
    <row r="87" customFormat="false" ht="12.75" hidden="false" customHeight="false" outlineLevel="0" collapsed="false">
      <c r="A87" s="39" t="n">
        <v>37477</v>
      </c>
      <c r="B87" s="10" t="n">
        <v>4.35</v>
      </c>
    </row>
    <row r="88" customFormat="false" ht="12.75" hidden="false" customHeight="false" outlineLevel="0" collapsed="false">
      <c r="A88" s="39" t="n">
        <v>37484</v>
      </c>
      <c r="B88" s="10" t="n">
        <v>4.18</v>
      </c>
    </row>
    <row r="89" customFormat="false" ht="12.75" hidden="false" customHeight="false" outlineLevel="0" collapsed="false">
      <c r="A89" s="39" t="n">
        <v>37491</v>
      </c>
      <c r="B89" s="10" t="n">
        <v>4.24</v>
      </c>
    </row>
    <row r="90" customFormat="false" ht="12.75" hidden="false" customHeight="false" outlineLevel="0" collapsed="false">
      <c r="A90" s="39" t="n">
        <v>37498</v>
      </c>
      <c r="B90" s="10" t="n">
        <v>4.21</v>
      </c>
    </row>
    <row r="91" customFormat="false" ht="12.75" hidden="false" customHeight="false" outlineLevel="0" collapsed="false">
      <c r="A91" s="39" t="n">
        <v>37505</v>
      </c>
      <c r="B91" s="10" t="n">
        <v>3.98</v>
      </c>
    </row>
    <row r="92" customFormat="false" ht="12.75" hidden="false" customHeight="false" outlineLevel="0" collapsed="false">
      <c r="A92" s="39" t="n">
        <v>37512</v>
      </c>
      <c r="B92" s="10" t="n">
        <v>4</v>
      </c>
    </row>
    <row r="93" customFormat="false" ht="12.75" hidden="false" customHeight="false" outlineLevel="0" collapsed="false">
      <c r="A93" s="39" t="n">
        <v>37519</v>
      </c>
      <c r="B93" s="10" t="n">
        <v>3.84</v>
      </c>
    </row>
    <row r="94" customFormat="false" ht="12.75" hidden="false" customHeight="false" outlineLevel="0" collapsed="false">
      <c r="A94" s="39" t="n">
        <v>37526</v>
      </c>
      <c r="B94" s="10" t="n">
        <v>3.73</v>
      </c>
    </row>
    <row r="95" customFormat="false" ht="12.75" hidden="false" customHeight="false" outlineLevel="0" collapsed="false">
      <c r="A95" s="39" t="n">
        <v>37533</v>
      </c>
      <c r="B95" s="10" t="n">
        <v>3.69</v>
      </c>
    </row>
    <row r="96" customFormat="false" ht="12.75" hidden="false" customHeight="false" outlineLevel="0" collapsed="false">
      <c r="A96" s="39" t="n">
        <v>37540</v>
      </c>
      <c r="B96" s="10" t="n">
        <v>3.68</v>
      </c>
    </row>
    <row r="97" customFormat="false" ht="12.75" hidden="false" customHeight="false" outlineLevel="0" collapsed="false">
      <c r="A97" s="39" t="n">
        <v>37547</v>
      </c>
      <c r="B97" s="10" t="n">
        <v>4.11</v>
      </c>
    </row>
    <row r="98" customFormat="false" ht="12.75" hidden="false" customHeight="false" outlineLevel="0" collapsed="false">
      <c r="A98" s="39" t="n">
        <v>37554</v>
      </c>
      <c r="B98" s="10" t="n">
        <v>4.21</v>
      </c>
    </row>
    <row r="99" customFormat="false" ht="12.75" hidden="false" customHeight="false" outlineLevel="0" collapsed="false">
      <c r="A99" s="39" t="n">
        <v>37561</v>
      </c>
      <c r="B99" s="10" t="n">
        <v>4</v>
      </c>
    </row>
    <row r="100" customFormat="false" ht="12.75" hidden="false" customHeight="false" outlineLevel="0" collapsed="false">
      <c r="A100" s="39" t="n">
        <v>37568</v>
      </c>
      <c r="B100" s="10" t="n">
        <v>4</v>
      </c>
    </row>
    <row r="101" customFormat="false" ht="12.75" hidden="false" customHeight="false" outlineLevel="0" collapsed="false">
      <c r="A101" s="39" t="n">
        <v>37575</v>
      </c>
      <c r="B101" s="10" t="n">
        <v>3.94</v>
      </c>
    </row>
    <row r="102" customFormat="false" ht="12.75" hidden="false" customHeight="false" outlineLevel="0" collapsed="false">
      <c r="A102" s="39" t="n">
        <v>37582</v>
      </c>
      <c r="B102" s="10" t="n">
        <v>4.08</v>
      </c>
    </row>
    <row r="103" customFormat="false" ht="12.75" hidden="false" customHeight="false" outlineLevel="0" collapsed="false">
      <c r="A103" s="39" t="n">
        <v>37589</v>
      </c>
      <c r="B103" s="10" t="n">
        <v>4.19</v>
      </c>
    </row>
    <row r="104" customFormat="false" ht="12.75" hidden="false" customHeight="false" outlineLevel="0" collapsed="false">
      <c r="A104" s="39" t="n">
        <v>37596</v>
      </c>
      <c r="B104" s="10" t="n">
        <v>4.17</v>
      </c>
    </row>
    <row r="105" customFormat="false" ht="12.75" hidden="false" customHeight="false" outlineLevel="0" collapsed="false">
      <c r="A105" s="39" t="n">
        <v>37603</v>
      </c>
      <c r="B105" s="10" t="n">
        <v>4.04</v>
      </c>
    </row>
    <row r="106" customFormat="false" ht="12.75" hidden="false" customHeight="false" outlineLevel="0" collapsed="false">
      <c r="A106" s="39" t="n">
        <v>37610</v>
      </c>
      <c r="B106" s="10" t="n">
        <v>4.05</v>
      </c>
    </row>
    <row r="107" customFormat="false" ht="12.75" hidden="false" customHeight="false" outlineLevel="0" collapsed="false">
      <c r="A107" s="39" t="n">
        <v>37617</v>
      </c>
      <c r="B107" s="10" t="n">
        <v>3.92</v>
      </c>
    </row>
    <row r="108" customFormat="false" ht="12.75" hidden="false" customHeight="false" outlineLevel="0" collapsed="false">
      <c r="A108" s="39" t="n">
        <v>37624</v>
      </c>
      <c r="B108" s="10" t="n">
        <v>3.94</v>
      </c>
    </row>
    <row r="109" customFormat="false" ht="12.75" hidden="false" customHeight="false" outlineLevel="0" collapsed="false">
      <c r="A109" s="39" t="n">
        <v>37631</v>
      </c>
      <c r="B109" s="10" t="n">
        <v>4.1</v>
      </c>
    </row>
    <row r="110" customFormat="false" ht="12.75" hidden="false" customHeight="false" outlineLevel="0" collapsed="false">
      <c r="A110" s="39" t="n">
        <v>37638</v>
      </c>
      <c r="B110" s="10" t="n">
        <v>4.1</v>
      </c>
    </row>
    <row r="111" customFormat="false" ht="12.75" hidden="false" customHeight="false" outlineLevel="0" collapsed="false">
      <c r="A111" s="39" t="n">
        <v>37645</v>
      </c>
      <c r="B111" s="10" t="n">
        <v>3.97</v>
      </c>
    </row>
    <row r="112" customFormat="false" ht="12.75" hidden="false" customHeight="false" outlineLevel="0" collapsed="false">
      <c r="A112" s="39" t="n">
        <v>37652</v>
      </c>
      <c r="B112" s="10" t="n">
        <v>4.01</v>
      </c>
    </row>
    <row r="113" customFormat="false" ht="12.75" hidden="false" customHeight="false" outlineLevel="0" collapsed="false">
      <c r="A113" s="39" t="n">
        <v>37659</v>
      </c>
      <c r="B113" s="10" t="n">
        <v>3.98</v>
      </c>
    </row>
    <row r="114" customFormat="false" ht="12.75" hidden="false" customHeight="false" outlineLevel="0" collapsed="false">
      <c r="A114" s="39" t="n">
        <v>37666</v>
      </c>
      <c r="B114" s="10" t="n">
        <v>3.95</v>
      </c>
    </row>
    <row r="115" customFormat="false" ht="12.75" hidden="false" customHeight="false" outlineLevel="0" collapsed="false">
      <c r="A115" s="39" t="n">
        <v>37673</v>
      </c>
      <c r="B115" s="10" t="n">
        <v>3.89</v>
      </c>
    </row>
    <row r="116" customFormat="false" ht="12.75" hidden="false" customHeight="false" outlineLevel="0" collapsed="false">
      <c r="A116" s="39" t="n">
        <v>37680</v>
      </c>
      <c r="B116" s="10" t="n">
        <v>3.78</v>
      </c>
    </row>
    <row r="117" customFormat="false" ht="12.75" hidden="false" customHeight="false" outlineLevel="0" collapsed="false">
      <c r="A117" s="39" t="n">
        <v>37687</v>
      </c>
      <c r="B117" s="10" t="n">
        <v>3.65</v>
      </c>
    </row>
    <row r="118" customFormat="false" ht="12.75" hidden="false" customHeight="false" outlineLevel="0" collapsed="false">
      <c r="A118" s="39" t="n">
        <v>37694</v>
      </c>
      <c r="B118" s="10" t="n">
        <v>3.65</v>
      </c>
    </row>
    <row r="119" customFormat="false" ht="12.75" hidden="false" customHeight="false" outlineLevel="0" collapsed="false">
      <c r="A119" s="39" t="n">
        <v>37701</v>
      </c>
      <c r="B119" s="10" t="n">
        <v>3.97</v>
      </c>
    </row>
    <row r="120" customFormat="false" ht="12.75" hidden="false" customHeight="false" outlineLevel="0" collapsed="false">
      <c r="A120" s="39" t="n">
        <v>37708</v>
      </c>
      <c r="B120" s="10" t="n">
        <v>3.96</v>
      </c>
    </row>
    <row r="121" customFormat="false" ht="12.75" hidden="false" customHeight="false" outlineLevel="0" collapsed="false">
      <c r="A121" s="39" t="n">
        <v>37715</v>
      </c>
      <c r="B121" s="10" t="n">
        <v>3.9</v>
      </c>
    </row>
    <row r="122" customFormat="false" ht="12.75" hidden="false" customHeight="false" outlineLevel="0" collapsed="false">
      <c r="A122" s="39" t="n">
        <v>37722</v>
      </c>
      <c r="B122" s="10" t="n">
        <v>3.97</v>
      </c>
    </row>
    <row r="123" customFormat="false" ht="12.75" hidden="false" customHeight="false" outlineLevel="0" collapsed="false">
      <c r="A123" s="39" t="n">
        <v>37729</v>
      </c>
      <c r="B123" s="10" t="n">
        <v>3.99</v>
      </c>
    </row>
    <row r="124" customFormat="false" ht="12.75" hidden="false" customHeight="false" outlineLevel="0" collapsed="false">
      <c r="A124" s="39" t="n">
        <v>37736</v>
      </c>
      <c r="B124" s="10" t="n">
        <v>3.97</v>
      </c>
    </row>
    <row r="125" customFormat="false" ht="12.75" hidden="false" customHeight="false" outlineLevel="0" collapsed="false">
      <c r="A125" s="39" t="n">
        <v>37743</v>
      </c>
      <c r="B125" s="10" t="n">
        <v>3.92</v>
      </c>
    </row>
    <row r="126" customFormat="false" ht="12.75" hidden="false" customHeight="false" outlineLevel="0" collapsed="false">
      <c r="A126" s="39" t="n">
        <v>37750</v>
      </c>
      <c r="B126" s="10" t="n">
        <v>3.77</v>
      </c>
    </row>
    <row r="127" customFormat="false" ht="12.75" hidden="false" customHeight="false" outlineLevel="0" collapsed="false">
      <c r="A127" s="39" t="n">
        <v>37757</v>
      </c>
      <c r="B127" s="10" t="n">
        <v>3.56</v>
      </c>
    </row>
    <row r="128" customFormat="false" ht="12.75" hidden="false" customHeight="false" outlineLevel="0" collapsed="false">
      <c r="A128" s="39" t="n">
        <v>37764</v>
      </c>
      <c r="B128" s="10" t="n">
        <v>3.38</v>
      </c>
    </row>
    <row r="129" customFormat="false" ht="12.75" hidden="false" customHeight="false" outlineLevel="0" collapsed="false">
      <c r="A129" s="39" t="n">
        <v>37771</v>
      </c>
      <c r="B129" s="10" t="n">
        <v>3.39</v>
      </c>
    </row>
    <row r="130" customFormat="false" ht="12.75" hidden="false" customHeight="false" outlineLevel="0" collapsed="false">
      <c r="A130" s="39" t="n">
        <v>37778</v>
      </c>
      <c r="B130" s="10" t="n">
        <v>3.36</v>
      </c>
    </row>
    <row r="131" customFormat="false" ht="12.75" hidden="false" customHeight="false" outlineLevel="0" collapsed="false">
      <c r="A131" s="39" t="n">
        <v>37785</v>
      </c>
      <c r="B131" s="10" t="n">
        <v>3.2</v>
      </c>
    </row>
    <row r="132" customFormat="false" ht="12.75" hidden="false" customHeight="false" outlineLevel="0" collapsed="false">
      <c r="A132" s="39" t="n">
        <v>37792</v>
      </c>
      <c r="B132" s="10" t="n">
        <v>3.31</v>
      </c>
    </row>
    <row r="133" customFormat="false" ht="12.75" hidden="false" customHeight="false" outlineLevel="0" collapsed="false">
      <c r="A133" s="39" t="n">
        <v>37799</v>
      </c>
      <c r="B133" s="10" t="n">
        <v>3.42</v>
      </c>
    </row>
    <row r="134" customFormat="false" ht="12.75" hidden="false" customHeight="false" outlineLevel="0" collapsed="false">
      <c r="A134" s="39" t="n">
        <v>37806</v>
      </c>
      <c r="B134" s="10" t="n">
        <v>3.58</v>
      </c>
    </row>
    <row r="135" customFormat="false" ht="12.75" hidden="false" customHeight="false" outlineLevel="0" collapsed="false">
      <c r="A135" s="39" t="n">
        <v>37813</v>
      </c>
      <c r="B135" s="10" t="n">
        <v>3.72</v>
      </c>
    </row>
    <row r="136" customFormat="false" ht="12.75" hidden="false" customHeight="false" outlineLevel="0" collapsed="false">
      <c r="A136" s="39" t="n">
        <v>37820</v>
      </c>
      <c r="B136" s="10" t="n">
        <v>3.93</v>
      </c>
    </row>
    <row r="137" customFormat="false" ht="12.75" hidden="false" customHeight="false" outlineLevel="0" collapsed="false">
      <c r="A137" s="39" t="n">
        <v>37827</v>
      </c>
      <c r="B137" s="10" t="n">
        <v>4.18</v>
      </c>
    </row>
    <row r="138" customFormat="false" ht="12.75" hidden="false" customHeight="false" outlineLevel="0" collapsed="false">
      <c r="A138" s="39" t="n">
        <v>37834</v>
      </c>
      <c r="B138" s="10" t="n">
        <v>4.4</v>
      </c>
    </row>
    <row r="139" customFormat="false" ht="12.75" hidden="false" customHeight="false" outlineLevel="0" collapsed="false">
      <c r="A139" s="39" t="n">
        <v>37841</v>
      </c>
      <c r="B139" s="10" t="n">
        <v>4.34</v>
      </c>
    </row>
    <row r="140" customFormat="false" ht="12.75" hidden="false" customHeight="false" outlineLevel="0" collapsed="false">
      <c r="A140" s="39" t="n">
        <v>37848</v>
      </c>
      <c r="B140" s="10" t="n">
        <v>4.49</v>
      </c>
    </row>
    <row r="141" customFormat="false" ht="12.75" hidden="false" customHeight="false" outlineLevel="0" collapsed="false">
      <c r="A141" s="39" t="n">
        <v>37855</v>
      </c>
      <c r="B141" s="10" t="n">
        <v>4.47</v>
      </c>
    </row>
    <row r="142" customFormat="false" ht="12.75" hidden="false" customHeight="false" outlineLevel="0" collapsed="false">
      <c r="A142" s="39" t="n">
        <v>37862</v>
      </c>
      <c r="B142" s="10" t="n">
        <v>4.49</v>
      </c>
    </row>
    <row r="143" customFormat="false" ht="12.75" hidden="false" customHeight="false" outlineLevel="0" collapsed="false">
      <c r="A143" s="39" t="n">
        <v>37869</v>
      </c>
      <c r="B143" s="10" t="n">
        <v>4.52</v>
      </c>
    </row>
    <row r="144" customFormat="false" ht="12.75" hidden="false" customHeight="false" outlineLevel="0" collapsed="false">
      <c r="A144" s="39" t="n">
        <v>37876</v>
      </c>
      <c r="B144" s="10" t="n">
        <v>4.34</v>
      </c>
    </row>
    <row r="145" customFormat="false" ht="12.75" hidden="false" customHeight="false" outlineLevel="0" collapsed="false">
      <c r="A145" s="39" t="n">
        <v>37883</v>
      </c>
      <c r="B145" s="10" t="n">
        <v>4.23</v>
      </c>
    </row>
    <row r="146" customFormat="false" ht="12.75" hidden="false" customHeight="false" outlineLevel="0" collapsed="false">
      <c r="A146" s="39" t="n">
        <v>37890</v>
      </c>
      <c r="B146" s="10" t="n">
        <v>4.16</v>
      </c>
    </row>
    <row r="147" customFormat="false" ht="12.75" hidden="false" customHeight="false" outlineLevel="0" collapsed="false">
      <c r="A147" s="39" t="n">
        <v>37897</v>
      </c>
      <c r="B147" s="10" t="n">
        <v>4.05</v>
      </c>
    </row>
    <row r="148" customFormat="false" ht="12.75" hidden="false" customHeight="false" outlineLevel="0" collapsed="false">
      <c r="A148" s="39" t="n">
        <v>37904</v>
      </c>
      <c r="B148" s="10" t="n">
        <v>4.26</v>
      </c>
    </row>
    <row r="149" customFormat="false" ht="12.75" hidden="false" customHeight="false" outlineLevel="0" collapsed="false">
      <c r="A149" s="39" t="n">
        <v>37911</v>
      </c>
      <c r="B149" s="10" t="n">
        <v>4.42</v>
      </c>
    </row>
    <row r="150" customFormat="false" ht="12.75" hidden="false" customHeight="false" outlineLevel="0" collapsed="false">
      <c r="A150" s="39" t="n">
        <v>37918</v>
      </c>
      <c r="B150" s="10" t="n">
        <v>4.33</v>
      </c>
    </row>
    <row r="151" customFormat="false" ht="12.75" hidden="false" customHeight="false" outlineLevel="0" collapsed="false">
      <c r="A151" s="39" t="n">
        <v>37925</v>
      </c>
      <c r="B151" s="10" t="n">
        <v>4.31</v>
      </c>
    </row>
    <row r="152" customFormat="false" ht="12.75" hidden="false" customHeight="false" outlineLevel="0" collapsed="false">
      <c r="A152" s="39" t="n">
        <v>37932</v>
      </c>
      <c r="B152" s="10" t="n">
        <v>4.41</v>
      </c>
    </row>
    <row r="153" customFormat="false" ht="12.75" hidden="false" customHeight="false" outlineLevel="0" collapsed="false">
      <c r="A153" s="39" t="n">
        <v>37939</v>
      </c>
      <c r="B153" s="10" t="n">
        <v>4.36</v>
      </c>
    </row>
    <row r="154" customFormat="false" ht="12.75" hidden="false" customHeight="false" outlineLevel="0" collapsed="false">
      <c r="A154" s="39" t="n">
        <v>37946</v>
      </c>
      <c r="B154" s="10" t="n">
        <v>4.18</v>
      </c>
    </row>
    <row r="155" customFormat="false" ht="12.75" hidden="false" customHeight="false" outlineLevel="0" collapsed="false">
      <c r="A155" s="39" t="n">
        <v>37953</v>
      </c>
      <c r="B155" s="10" t="n">
        <v>4.25</v>
      </c>
    </row>
    <row r="156" customFormat="false" ht="12.75" hidden="false" customHeight="false" outlineLevel="0" collapsed="false">
      <c r="A156" s="39" t="n">
        <v>37960</v>
      </c>
      <c r="B156" s="10" t="n">
        <v>4.36</v>
      </c>
    </row>
    <row r="157" customFormat="false" ht="12.75" hidden="false" customHeight="false" outlineLevel="0" collapsed="false">
      <c r="A157" s="39" t="n">
        <v>37967</v>
      </c>
      <c r="B157" s="10" t="n">
        <v>4.29</v>
      </c>
    </row>
    <row r="158" customFormat="false" ht="12.75" hidden="false" customHeight="false" outlineLevel="0" collapsed="false">
      <c r="A158" s="39" t="n">
        <v>37974</v>
      </c>
      <c r="B158" s="10" t="n">
        <v>4.2</v>
      </c>
    </row>
    <row r="159" customFormat="false" ht="12.75" hidden="false" customHeight="false" outlineLevel="0" collapsed="false">
      <c r="A159" s="39" t="n">
        <v>37981</v>
      </c>
      <c r="B159" s="10" t="n">
        <v>4.21</v>
      </c>
    </row>
    <row r="160" customFormat="false" ht="12.75" hidden="false" customHeight="false" outlineLevel="0" collapsed="false">
      <c r="A160" s="39" t="n">
        <v>37988</v>
      </c>
      <c r="B160" s="10" t="n">
        <v>4.3</v>
      </c>
    </row>
    <row r="161" customFormat="false" ht="12.75" hidden="false" customHeight="false" outlineLevel="0" collapsed="false">
      <c r="A161" s="39" t="n">
        <v>37995</v>
      </c>
      <c r="B161" s="10" t="n">
        <v>4.27</v>
      </c>
    </row>
    <row r="162" customFormat="false" ht="12.75" hidden="false" customHeight="false" outlineLevel="0" collapsed="false">
      <c r="A162" s="39" t="n">
        <v>38002</v>
      </c>
      <c r="B162" s="10" t="n">
        <v>4.04</v>
      </c>
    </row>
    <row r="163" customFormat="false" ht="12.75" hidden="false" customHeight="false" outlineLevel="0" collapsed="false">
      <c r="A163" s="39" t="n">
        <v>38009</v>
      </c>
      <c r="B163" s="10" t="n">
        <v>4.05</v>
      </c>
    </row>
    <row r="164" customFormat="false" ht="12.75" hidden="false" customHeight="false" outlineLevel="0" collapsed="false">
      <c r="A164" s="39" t="n">
        <v>38016</v>
      </c>
      <c r="B164" s="10" t="n">
        <v>4.17</v>
      </c>
    </row>
    <row r="165" customFormat="false" ht="12.75" hidden="false" customHeight="false" outlineLevel="0" collapsed="false">
      <c r="A165" s="39" t="n">
        <v>38023</v>
      </c>
      <c r="B165" s="10" t="n">
        <v>4.16</v>
      </c>
    </row>
    <row r="166" customFormat="false" ht="12.75" hidden="false" customHeight="false" outlineLevel="0" collapsed="false">
      <c r="A166" s="39" t="n">
        <v>38030</v>
      </c>
      <c r="B166" s="10" t="n">
        <v>4.08</v>
      </c>
    </row>
    <row r="167" customFormat="false" ht="12.75" hidden="false" customHeight="false" outlineLevel="0" collapsed="false">
      <c r="A167" s="39" t="n">
        <v>38037</v>
      </c>
      <c r="B167" s="10" t="n">
        <v>4.06</v>
      </c>
    </row>
    <row r="168" customFormat="false" ht="12.75" hidden="false" customHeight="false" outlineLevel="0" collapsed="false">
      <c r="A168" s="39" t="n">
        <v>38044</v>
      </c>
      <c r="B168" s="10" t="n">
        <v>4.03</v>
      </c>
    </row>
    <row r="169" customFormat="false" ht="12.75" hidden="false" customHeight="false" outlineLevel="0" collapsed="false">
      <c r="A169" s="39" t="n">
        <v>38051</v>
      </c>
      <c r="B169" s="10" t="n">
        <v>4</v>
      </c>
    </row>
    <row r="170" customFormat="false" ht="12.75" hidden="false" customHeight="false" outlineLevel="0" collapsed="false">
      <c r="A170" s="39" t="n">
        <v>38058</v>
      </c>
      <c r="B170" s="10" t="n">
        <v>3.75</v>
      </c>
    </row>
    <row r="171" customFormat="false" ht="12.75" hidden="false" customHeight="false" outlineLevel="0" collapsed="false">
      <c r="A171" s="39" t="n">
        <v>38065</v>
      </c>
      <c r="B171" s="10" t="n">
        <v>3.75</v>
      </c>
    </row>
    <row r="172" customFormat="false" ht="12.75" hidden="false" customHeight="false" outlineLevel="0" collapsed="false">
      <c r="A172" s="39" t="n">
        <v>38072</v>
      </c>
      <c r="B172" s="10" t="n">
        <v>3.76</v>
      </c>
    </row>
    <row r="173" customFormat="false" ht="12.75" hidden="false" customHeight="false" outlineLevel="0" collapsed="false">
      <c r="A173" s="39" t="n">
        <v>38079</v>
      </c>
      <c r="B173" s="10" t="n">
        <v>3.95</v>
      </c>
    </row>
    <row r="174" customFormat="false" ht="12.75" hidden="false" customHeight="false" outlineLevel="0" collapsed="false">
      <c r="A174" s="39" t="n">
        <v>38086</v>
      </c>
      <c r="B174" s="10" t="n">
        <v>4.21</v>
      </c>
    </row>
    <row r="175" customFormat="false" ht="12.75" hidden="false" customHeight="false" outlineLevel="0" collapsed="false">
      <c r="A175" s="39" t="n">
        <v>38093</v>
      </c>
      <c r="B175" s="10" t="n">
        <v>4.36</v>
      </c>
    </row>
    <row r="176" customFormat="false" ht="12.75" hidden="false" customHeight="false" outlineLevel="0" collapsed="false">
      <c r="A176" s="39" t="n">
        <v>38100</v>
      </c>
      <c r="B176" s="10" t="n">
        <v>4.43</v>
      </c>
    </row>
    <row r="177" customFormat="false" ht="12.75" hidden="false" customHeight="false" outlineLevel="0" collapsed="false">
      <c r="A177" s="39" t="n">
        <v>38107</v>
      </c>
      <c r="B177" s="10" t="n">
        <v>4.49</v>
      </c>
    </row>
    <row r="178" customFormat="false" ht="12.75" hidden="false" customHeight="false" outlineLevel="0" collapsed="false">
      <c r="A178" s="39" t="n">
        <v>38114</v>
      </c>
      <c r="B178" s="10" t="n">
        <v>4.62</v>
      </c>
    </row>
    <row r="179" customFormat="false" ht="12.75" hidden="false" customHeight="false" outlineLevel="0" collapsed="false">
      <c r="A179" s="39" t="n">
        <v>38121</v>
      </c>
      <c r="B179" s="10" t="n">
        <v>4.81</v>
      </c>
    </row>
    <row r="180" customFormat="false" ht="12.75" hidden="false" customHeight="false" outlineLevel="0" collapsed="false">
      <c r="A180" s="39" t="n">
        <v>38128</v>
      </c>
      <c r="B180" s="10" t="n">
        <v>4.74</v>
      </c>
    </row>
    <row r="181" customFormat="false" ht="12.75" hidden="false" customHeight="false" outlineLevel="0" collapsed="false">
      <c r="A181" s="39" t="n">
        <v>38135</v>
      </c>
      <c r="B181" s="10" t="n">
        <v>4.68</v>
      </c>
    </row>
    <row r="182" customFormat="false" ht="12.75" hidden="false" customHeight="false" outlineLevel="0" collapsed="false">
      <c r="A182" s="39" t="n">
        <v>38142</v>
      </c>
      <c r="B182" s="10" t="n">
        <v>4.74</v>
      </c>
    </row>
    <row r="183" customFormat="false" ht="12.75" hidden="false" customHeight="false" outlineLevel="0" collapsed="false">
      <c r="A183" s="39" t="n">
        <v>38149</v>
      </c>
      <c r="B183" s="10" t="n">
        <v>4.8</v>
      </c>
    </row>
    <row r="184" customFormat="false" ht="12.75" hidden="false" customHeight="false" outlineLevel="0" collapsed="false">
      <c r="A184" s="39" t="n">
        <v>38156</v>
      </c>
      <c r="B184" s="10" t="n">
        <v>4.75</v>
      </c>
    </row>
    <row r="185" customFormat="false" ht="12.75" hidden="false" customHeight="false" outlineLevel="0" collapsed="false">
      <c r="A185" s="39" t="n">
        <v>38163</v>
      </c>
      <c r="B185" s="10" t="n">
        <v>4.69</v>
      </c>
    </row>
    <row r="186" customFormat="false" ht="12.75" hidden="false" customHeight="false" outlineLevel="0" collapsed="false">
      <c r="A186" s="39" t="n">
        <v>38170</v>
      </c>
      <c r="B186" s="10" t="n">
        <v>4.63</v>
      </c>
    </row>
    <row r="187" customFormat="false" ht="12.75" hidden="false" customHeight="false" outlineLevel="0" collapsed="false">
      <c r="A187" s="39" t="n">
        <v>38177</v>
      </c>
      <c r="B187" s="10" t="n">
        <v>4.49</v>
      </c>
    </row>
    <row r="188" customFormat="false" ht="12.75" hidden="false" customHeight="false" outlineLevel="0" collapsed="false">
      <c r="A188" s="39" t="n">
        <v>38184</v>
      </c>
      <c r="B188" s="10" t="n">
        <v>4.47</v>
      </c>
    </row>
    <row r="189" customFormat="false" ht="12.75" hidden="false" customHeight="false" outlineLevel="0" collapsed="false">
      <c r="A189" s="39" t="n">
        <v>38191</v>
      </c>
      <c r="B189" s="10" t="n">
        <v>4.46</v>
      </c>
    </row>
    <row r="190" customFormat="false" ht="12.75" hidden="false" customHeight="false" outlineLevel="0" collapsed="false">
      <c r="A190" s="39" t="n">
        <v>38198</v>
      </c>
      <c r="B190" s="10" t="n">
        <v>4.56</v>
      </c>
    </row>
    <row r="191" customFormat="false" ht="12.75" hidden="false" customHeight="false" outlineLevel="0" collapsed="false">
      <c r="A191" s="39" t="n">
        <v>38205</v>
      </c>
      <c r="B191" s="10" t="n">
        <v>4.41</v>
      </c>
    </row>
    <row r="192" customFormat="false" ht="12.75" hidden="false" customHeight="false" outlineLevel="0" collapsed="false">
      <c r="A192" s="39" t="n">
        <v>38212</v>
      </c>
      <c r="B192" s="10" t="n">
        <v>4.28</v>
      </c>
    </row>
    <row r="193" customFormat="false" ht="12.75" hidden="false" customHeight="false" outlineLevel="0" collapsed="false">
      <c r="A193" s="39" t="n">
        <v>38219</v>
      </c>
      <c r="B193" s="10" t="n">
        <v>4.23</v>
      </c>
    </row>
    <row r="194" customFormat="false" ht="12.75" hidden="false" customHeight="false" outlineLevel="0" collapsed="false">
      <c r="A194" s="39" t="n">
        <v>38226</v>
      </c>
      <c r="B194" s="10" t="n">
        <v>4.25</v>
      </c>
    </row>
    <row r="195" customFormat="false" ht="12.75" hidden="false" customHeight="false" outlineLevel="0" collapsed="false">
      <c r="A195" s="39" t="n">
        <v>38233</v>
      </c>
      <c r="B195" s="10" t="n">
        <v>4.19</v>
      </c>
    </row>
    <row r="196" customFormat="false" ht="12.75" hidden="false" customHeight="false" outlineLevel="0" collapsed="false">
      <c r="A196" s="39" t="n">
        <v>38240</v>
      </c>
      <c r="B196" s="10" t="n">
        <v>4.21</v>
      </c>
    </row>
    <row r="197" customFormat="false" ht="12.75" hidden="false" customHeight="false" outlineLevel="0" collapsed="false">
      <c r="A197" s="39" t="n">
        <v>38247</v>
      </c>
      <c r="B197" s="10" t="n">
        <v>4.14</v>
      </c>
    </row>
    <row r="198" customFormat="false" ht="12.75" hidden="false" customHeight="false" outlineLevel="0" collapsed="false">
      <c r="A198" s="39" t="n">
        <v>38254</v>
      </c>
      <c r="B198" s="10" t="n">
        <v>4.04</v>
      </c>
    </row>
    <row r="199" customFormat="false" ht="12.75" hidden="false" customHeight="false" outlineLevel="0" collapsed="false">
      <c r="A199" s="39" t="n">
        <v>38261</v>
      </c>
      <c r="B199" s="10" t="n">
        <v>4.1</v>
      </c>
    </row>
    <row r="200" customFormat="false" ht="12.75" hidden="false" customHeight="false" outlineLevel="0" collapsed="false">
      <c r="A200" s="39" t="n">
        <v>38268</v>
      </c>
      <c r="B200" s="10" t="n">
        <v>4.2</v>
      </c>
    </row>
    <row r="201" customFormat="false" ht="12.75" hidden="false" customHeight="false" outlineLevel="0" collapsed="false">
      <c r="A201" s="39" t="n">
        <v>38275</v>
      </c>
      <c r="B201" s="10" t="n">
        <v>4.08</v>
      </c>
    </row>
    <row r="202" customFormat="false" ht="12.75" hidden="false" customHeight="false" outlineLevel="0" collapsed="false">
      <c r="A202" s="39" t="n">
        <v>38282</v>
      </c>
      <c r="B202" s="10" t="n">
        <v>4.03</v>
      </c>
    </row>
    <row r="203" customFormat="false" ht="12.75" hidden="false" customHeight="false" outlineLevel="0" collapsed="false">
      <c r="A203" s="39" t="n">
        <v>38289</v>
      </c>
      <c r="B203" s="10" t="n">
        <v>4.05</v>
      </c>
    </row>
    <row r="204" customFormat="false" ht="12.75" hidden="false" customHeight="false" outlineLevel="0" collapsed="false">
      <c r="A204" s="39" t="n">
        <v>38296</v>
      </c>
      <c r="B204" s="10" t="n">
        <v>4.12</v>
      </c>
    </row>
    <row r="205" customFormat="false" ht="12.75" hidden="false" customHeight="false" outlineLevel="0" collapsed="false">
      <c r="A205" s="39" t="n">
        <v>38303</v>
      </c>
      <c r="B205" s="10" t="n">
        <v>4.22</v>
      </c>
    </row>
    <row r="206" customFormat="false" ht="12.75" hidden="false" customHeight="false" outlineLevel="0" collapsed="false">
      <c r="A206" s="39" t="n">
        <v>38310</v>
      </c>
      <c r="B206" s="10" t="n">
        <v>4.17</v>
      </c>
    </row>
    <row r="207" customFormat="false" ht="12.75" hidden="false" customHeight="false" outlineLevel="0" collapsed="false">
      <c r="A207" s="39" t="n">
        <v>38317</v>
      </c>
      <c r="B207" s="10" t="n">
        <v>4.2</v>
      </c>
    </row>
    <row r="208" customFormat="false" ht="12.75" hidden="false" customHeight="false" outlineLevel="0" collapsed="false">
      <c r="A208" s="39" t="n">
        <v>38324</v>
      </c>
      <c r="B208" s="10" t="n">
        <v>4.35</v>
      </c>
    </row>
    <row r="209" customFormat="false" ht="12.75" hidden="false" customHeight="false" outlineLevel="0" collapsed="false">
      <c r="A209" s="39" t="n">
        <v>38331</v>
      </c>
      <c r="B209" s="10" t="n">
        <v>4.19</v>
      </c>
    </row>
    <row r="210" customFormat="false" ht="12.75" hidden="false" customHeight="false" outlineLevel="0" collapsed="false">
      <c r="A210" s="39" t="n">
        <v>38338</v>
      </c>
      <c r="B210" s="10" t="n">
        <v>4.16</v>
      </c>
    </row>
    <row r="211" customFormat="false" ht="12.75" hidden="false" customHeight="false" outlineLevel="0" collapsed="false">
      <c r="A211" s="39" t="n">
        <v>38345</v>
      </c>
      <c r="B211" s="10" t="n">
        <v>4.21</v>
      </c>
    </row>
    <row r="212" customFormat="false" ht="12.75" hidden="false" customHeight="false" outlineLevel="0" collapsed="false">
      <c r="A212" s="39" t="n">
        <v>38352</v>
      </c>
      <c r="B212" s="10" t="n">
        <v>4.29</v>
      </c>
    </row>
    <row r="213" customFormat="false" ht="12.75" hidden="false" customHeight="false" outlineLevel="0" collapsed="false">
      <c r="A213" s="39" t="n">
        <v>38359</v>
      </c>
      <c r="B213" s="10" t="n">
        <v>4.28</v>
      </c>
    </row>
    <row r="214" customFormat="false" ht="12.75" hidden="false" customHeight="false" outlineLevel="0" collapsed="false">
      <c r="A214" s="39" t="n">
        <v>38366</v>
      </c>
      <c r="B214" s="10" t="n">
        <v>4.25</v>
      </c>
    </row>
    <row r="215" customFormat="false" ht="12.75" hidden="false" customHeight="false" outlineLevel="0" collapsed="false">
      <c r="A215" s="39" t="n">
        <v>38373</v>
      </c>
      <c r="B215" s="10" t="n">
        <v>4.19</v>
      </c>
    </row>
    <row r="216" customFormat="false" ht="12.75" hidden="false" customHeight="false" outlineLevel="0" collapsed="false">
      <c r="A216" s="39" t="n">
        <v>38380</v>
      </c>
      <c r="B216" s="10" t="n">
        <v>4.19</v>
      </c>
    </row>
    <row r="217" customFormat="false" ht="12.75" hidden="false" customHeight="false" outlineLevel="0" collapsed="false">
      <c r="A217" s="39" t="n">
        <v>38387</v>
      </c>
      <c r="B217" s="10" t="n">
        <v>4.14</v>
      </c>
    </row>
    <row r="218" customFormat="false" ht="12.75" hidden="false" customHeight="false" outlineLevel="0" collapsed="false">
      <c r="A218" s="39" t="n">
        <v>38394</v>
      </c>
      <c r="B218" s="10" t="n">
        <v>4.06</v>
      </c>
    </row>
    <row r="219" customFormat="false" ht="12.75" hidden="false" customHeight="false" outlineLevel="0" collapsed="false">
      <c r="A219" s="39" t="n">
        <v>38401</v>
      </c>
      <c r="B219" s="10" t="n">
        <v>4.16</v>
      </c>
    </row>
    <row r="220" customFormat="false" ht="12.75" hidden="false" customHeight="false" outlineLevel="0" collapsed="false">
      <c r="A220" s="39" t="n">
        <v>38408</v>
      </c>
      <c r="B220" s="10" t="n">
        <v>4.28</v>
      </c>
    </row>
    <row r="221" customFormat="false" ht="12.75" hidden="false" customHeight="false" outlineLevel="0" collapsed="false">
      <c r="A221" s="39" t="n">
        <v>38415</v>
      </c>
      <c r="B221" s="10" t="n">
        <v>4.37</v>
      </c>
    </row>
    <row r="222" customFormat="false" ht="12.75" hidden="false" customHeight="false" outlineLevel="0" collapsed="false">
      <c r="A222" s="39" t="n">
        <v>38422</v>
      </c>
      <c r="B222" s="10" t="n">
        <v>4.45</v>
      </c>
    </row>
    <row r="223" customFormat="false" ht="12.75" hidden="false" customHeight="false" outlineLevel="0" collapsed="false">
      <c r="A223" s="39" t="n">
        <v>38429</v>
      </c>
      <c r="B223" s="10" t="n">
        <v>4.51</v>
      </c>
    </row>
    <row r="224" customFormat="false" ht="12.75" hidden="false" customHeight="false" outlineLevel="0" collapsed="false">
      <c r="A224" s="39" t="n">
        <v>38436</v>
      </c>
      <c r="B224" s="10" t="n">
        <v>4.59</v>
      </c>
    </row>
    <row r="225" customFormat="false" ht="12.75" hidden="false" customHeight="false" outlineLevel="0" collapsed="false">
      <c r="A225" s="39" t="n">
        <v>38443</v>
      </c>
      <c r="B225" s="10" t="n">
        <v>4.55</v>
      </c>
    </row>
    <row r="226" customFormat="false" ht="12.75" hidden="false" customHeight="false" outlineLevel="0" collapsed="false">
      <c r="A226" s="39" t="n">
        <v>38450</v>
      </c>
      <c r="B226" s="10" t="n">
        <v>4.48</v>
      </c>
    </row>
    <row r="227" customFormat="false" ht="12.75" hidden="false" customHeight="false" outlineLevel="0" collapsed="false">
      <c r="A227" s="39" t="n">
        <v>38457</v>
      </c>
      <c r="B227" s="10" t="n">
        <v>4.37</v>
      </c>
    </row>
    <row r="228" customFormat="false" ht="12.75" hidden="false" customHeight="false" outlineLevel="0" collapsed="false">
      <c r="A228" s="39" t="n">
        <v>38464</v>
      </c>
      <c r="B228" s="10" t="n">
        <v>4.26</v>
      </c>
    </row>
    <row r="229" customFormat="false" ht="12.75" hidden="false" customHeight="false" outlineLevel="0" collapsed="false">
      <c r="A229" s="39" t="n">
        <v>38471</v>
      </c>
      <c r="B229" s="10" t="n">
        <v>4.24</v>
      </c>
    </row>
    <row r="230" customFormat="false" ht="12.75" hidden="false" customHeight="false" outlineLevel="0" collapsed="false">
      <c r="A230" s="39" t="n">
        <v>38478</v>
      </c>
      <c r="B230" s="10" t="n">
        <v>4.22</v>
      </c>
    </row>
    <row r="231" customFormat="false" ht="12.75" hidden="false" customHeight="false" outlineLevel="0" collapsed="false">
      <c r="A231" s="39" t="n">
        <v>38485</v>
      </c>
      <c r="B231" s="10" t="n">
        <v>4.21</v>
      </c>
    </row>
    <row r="232" customFormat="false" ht="12.75" hidden="false" customHeight="false" outlineLevel="0" collapsed="false">
      <c r="A232" s="39" t="n">
        <v>38492</v>
      </c>
      <c r="B232" s="10" t="n">
        <v>4.11</v>
      </c>
    </row>
    <row r="233" customFormat="false" ht="12.75" hidden="false" customHeight="false" outlineLevel="0" collapsed="false">
      <c r="A233" s="39" t="n">
        <v>38499</v>
      </c>
      <c r="B233" s="10" t="n">
        <v>4.07</v>
      </c>
    </row>
    <row r="234" customFormat="false" ht="12.75" hidden="false" customHeight="false" outlineLevel="0" collapsed="false">
      <c r="A234" s="39" t="n">
        <v>38506</v>
      </c>
      <c r="B234" s="10" t="n">
        <v>3.95</v>
      </c>
    </row>
    <row r="235" customFormat="false" ht="12.75" hidden="false" customHeight="false" outlineLevel="0" collapsed="false">
      <c r="A235" s="39" t="n">
        <v>38513</v>
      </c>
      <c r="B235" s="10" t="n">
        <v>3.97</v>
      </c>
    </row>
    <row r="236" customFormat="false" ht="12.75" hidden="false" customHeight="false" outlineLevel="0" collapsed="false">
      <c r="A236" s="39" t="n">
        <v>38520</v>
      </c>
      <c r="B236" s="10" t="n">
        <v>4.1</v>
      </c>
    </row>
    <row r="237" customFormat="false" ht="12.75" hidden="false" customHeight="false" outlineLevel="0" collapsed="false">
      <c r="A237" s="39" t="n">
        <v>38527</v>
      </c>
      <c r="B237" s="10" t="n">
        <v>4</v>
      </c>
    </row>
    <row r="238" customFormat="false" ht="12.75" hidden="false" customHeight="false" outlineLevel="0" collapsed="false">
      <c r="A238" s="39" t="n">
        <v>38534</v>
      </c>
      <c r="B238" s="10" t="n">
        <v>3.97</v>
      </c>
    </row>
    <row r="239" customFormat="false" ht="12.75" hidden="false" customHeight="false" outlineLevel="0" collapsed="false">
      <c r="A239" s="39" t="n">
        <v>38541</v>
      </c>
      <c r="B239" s="10" t="n">
        <v>4.09</v>
      </c>
    </row>
    <row r="240" customFormat="false" ht="12.75" hidden="false" customHeight="false" outlineLevel="0" collapsed="false">
      <c r="A240" s="39" t="n">
        <v>38548</v>
      </c>
      <c r="B240" s="10" t="n">
        <v>4.16</v>
      </c>
    </row>
    <row r="241" customFormat="false" ht="12.75" hidden="false" customHeight="false" outlineLevel="0" collapsed="false">
      <c r="A241" s="39" t="n">
        <v>38555</v>
      </c>
      <c r="B241" s="10" t="n">
        <v>4.22</v>
      </c>
    </row>
    <row r="242" customFormat="false" ht="12.75" hidden="false" customHeight="false" outlineLevel="0" collapsed="false">
      <c r="A242" s="39" t="n">
        <v>38562</v>
      </c>
      <c r="B242" s="10" t="n">
        <v>4.25</v>
      </c>
    </row>
    <row r="243" customFormat="false" ht="12.75" hidden="false" customHeight="false" outlineLevel="0" collapsed="false">
      <c r="A243" s="39" t="n">
        <v>38569</v>
      </c>
      <c r="B243" s="10" t="n">
        <v>4.34</v>
      </c>
    </row>
    <row r="244" customFormat="false" ht="12.75" hidden="false" customHeight="false" outlineLevel="0" collapsed="false">
      <c r="A244" s="39" t="n">
        <v>38576</v>
      </c>
      <c r="B244" s="10" t="n">
        <v>4.36</v>
      </c>
    </row>
    <row r="245" customFormat="false" ht="12.75" hidden="false" customHeight="false" outlineLevel="0" collapsed="false">
      <c r="A245" s="39" t="n">
        <v>38583</v>
      </c>
      <c r="B245" s="10" t="n">
        <v>4.24</v>
      </c>
    </row>
    <row r="246" customFormat="false" ht="12.75" hidden="false" customHeight="false" outlineLevel="0" collapsed="false">
      <c r="A246" s="39" t="n">
        <v>38590</v>
      </c>
      <c r="B246" s="10" t="n">
        <v>4.2</v>
      </c>
    </row>
    <row r="247" customFormat="false" ht="12.75" hidden="false" customHeight="false" outlineLevel="0" collapsed="false">
      <c r="A247" s="39" t="n">
        <v>38597</v>
      </c>
      <c r="B247" s="10" t="n">
        <v>4.09</v>
      </c>
    </row>
    <row r="248" customFormat="false" ht="12.75" hidden="false" customHeight="false" outlineLevel="0" collapsed="false">
      <c r="A248" s="39" t="n">
        <v>38604</v>
      </c>
      <c r="B248" s="10" t="n">
        <v>4.13</v>
      </c>
    </row>
    <row r="249" customFormat="false" ht="12.75" hidden="false" customHeight="false" outlineLevel="0" collapsed="false">
      <c r="A249" s="39" t="n">
        <v>38611</v>
      </c>
      <c r="B249" s="10" t="n">
        <v>4.19</v>
      </c>
    </row>
    <row r="250" customFormat="false" ht="12.75" hidden="false" customHeight="false" outlineLevel="0" collapsed="false">
      <c r="A250" s="39" t="n">
        <v>38618</v>
      </c>
      <c r="B250" s="10" t="n">
        <v>4.23</v>
      </c>
    </row>
    <row r="251" customFormat="false" ht="12.75" hidden="false" customHeight="false" outlineLevel="0" collapsed="false">
      <c r="A251" s="39" t="n">
        <v>38625</v>
      </c>
      <c r="B251" s="10" t="n">
        <v>4.3</v>
      </c>
    </row>
    <row r="252" customFormat="false" ht="12.75" hidden="false" customHeight="false" outlineLevel="0" collapsed="false">
      <c r="A252" s="39" t="n">
        <v>38632</v>
      </c>
      <c r="B252" s="10" t="n">
        <v>4.37</v>
      </c>
    </row>
    <row r="253" customFormat="false" ht="12.75" hidden="false" customHeight="false" outlineLevel="0" collapsed="false">
      <c r="A253" s="39" t="n">
        <v>38639</v>
      </c>
      <c r="B253" s="10" t="n">
        <v>4.45</v>
      </c>
    </row>
    <row r="254" customFormat="false" ht="12.75" hidden="false" customHeight="false" outlineLevel="0" collapsed="false">
      <c r="A254" s="39" t="n">
        <v>38646</v>
      </c>
      <c r="B254" s="10" t="n">
        <v>4.46</v>
      </c>
    </row>
    <row r="255" customFormat="false" ht="12.75" hidden="false" customHeight="false" outlineLevel="0" collapsed="false">
      <c r="A255" s="39" t="n">
        <v>38653</v>
      </c>
      <c r="B255" s="10" t="n">
        <v>4.55</v>
      </c>
    </row>
    <row r="256" customFormat="false" ht="12.75" hidden="false" customHeight="false" outlineLevel="0" collapsed="false">
      <c r="A256" s="39" t="n">
        <v>38660</v>
      </c>
      <c r="B256" s="10" t="n">
        <v>4.61</v>
      </c>
    </row>
    <row r="257" customFormat="false" ht="12.75" hidden="false" customHeight="false" outlineLevel="0" collapsed="false">
      <c r="A257" s="39" t="n">
        <v>38667</v>
      </c>
      <c r="B257" s="10" t="n">
        <v>4.6</v>
      </c>
    </row>
    <row r="258" customFormat="false" ht="12.75" hidden="false" customHeight="false" outlineLevel="0" collapsed="false">
      <c r="A258" s="39" t="n">
        <v>38674</v>
      </c>
      <c r="B258" s="10" t="n">
        <v>4.52</v>
      </c>
    </row>
    <row r="259" customFormat="false" ht="12.75" hidden="false" customHeight="false" outlineLevel="0" collapsed="false">
      <c r="A259" s="39" t="n">
        <v>38681</v>
      </c>
      <c r="B259" s="10" t="n">
        <v>4.45</v>
      </c>
    </row>
    <row r="260" customFormat="false" ht="12.75" hidden="false" customHeight="false" outlineLevel="0" collapsed="false">
      <c r="A260" s="39" t="n">
        <v>38688</v>
      </c>
      <c r="B260" s="10" t="n">
        <v>4.48</v>
      </c>
    </row>
    <row r="261" customFormat="false" ht="12.75" hidden="false" customHeight="false" outlineLevel="0" collapsed="false">
      <c r="A261" s="39" t="n">
        <v>38695</v>
      </c>
      <c r="B261" s="10" t="n">
        <v>4.52</v>
      </c>
    </row>
    <row r="262" customFormat="false" ht="12.75" hidden="false" customHeight="false" outlineLevel="0" collapsed="false">
      <c r="A262" s="39" t="n">
        <v>38702</v>
      </c>
      <c r="B262" s="10" t="n">
        <v>4.49</v>
      </c>
    </row>
    <row r="263" customFormat="false" ht="12.75" hidden="false" customHeight="false" outlineLevel="0" collapsed="false">
      <c r="A263" s="39" t="n">
        <v>38709</v>
      </c>
      <c r="B263" s="10" t="n">
        <v>4.45</v>
      </c>
    </row>
    <row r="264" customFormat="false" ht="12.75" hidden="false" customHeight="false" outlineLevel="0" collapsed="false">
      <c r="A264" s="39" t="n">
        <v>38716</v>
      </c>
      <c r="B264" s="10" t="n">
        <v>4.37</v>
      </c>
    </row>
    <row r="265" customFormat="false" ht="12.75" hidden="false" customHeight="false" outlineLevel="0" collapsed="false">
      <c r="A265" s="39" t="n">
        <v>38723</v>
      </c>
      <c r="B265" s="10" t="n">
        <v>4.37</v>
      </c>
    </row>
    <row r="266" customFormat="false" ht="12.75" hidden="false" customHeight="false" outlineLevel="0" collapsed="false">
      <c r="A266" s="39" t="n">
        <v>38730</v>
      </c>
      <c r="B266" s="10" t="n">
        <v>4.41</v>
      </c>
    </row>
    <row r="267" customFormat="false" ht="12.75" hidden="false" customHeight="false" outlineLevel="0" collapsed="false">
      <c r="A267" s="39" t="n">
        <v>38737</v>
      </c>
      <c r="B267" s="10" t="n">
        <v>4.36</v>
      </c>
    </row>
    <row r="268" customFormat="false" ht="12.75" hidden="false" customHeight="false" outlineLevel="0" collapsed="false">
      <c r="A268" s="39" t="n">
        <v>38744</v>
      </c>
      <c r="B268" s="10" t="n">
        <v>4.46</v>
      </c>
    </row>
    <row r="269" customFormat="false" ht="12.75" hidden="false" customHeight="false" outlineLevel="0" collapsed="false">
      <c r="A269" s="39" t="n">
        <v>38751</v>
      </c>
      <c r="B269" s="10" t="n">
        <v>4.55</v>
      </c>
    </row>
    <row r="270" customFormat="false" ht="12.75" hidden="false" customHeight="false" outlineLevel="0" collapsed="false">
      <c r="A270" s="39" t="n">
        <v>38758</v>
      </c>
      <c r="B270" s="10" t="n">
        <v>4.56</v>
      </c>
    </row>
    <row r="271" customFormat="false" ht="12.75" hidden="false" customHeight="false" outlineLevel="0" collapsed="false">
      <c r="A271" s="39" t="n">
        <v>38765</v>
      </c>
      <c r="B271" s="10" t="n">
        <v>4.59</v>
      </c>
    </row>
    <row r="272" customFormat="false" ht="12.75" hidden="false" customHeight="false" outlineLevel="0" collapsed="false">
      <c r="A272" s="39" t="n">
        <v>38772</v>
      </c>
      <c r="B272" s="10" t="n">
        <v>4.56</v>
      </c>
    </row>
    <row r="273" customFormat="false" ht="12.75" hidden="false" customHeight="false" outlineLevel="0" collapsed="false">
      <c r="A273" s="39" t="n">
        <v>38779</v>
      </c>
      <c r="B273" s="10" t="n">
        <v>4.61</v>
      </c>
    </row>
    <row r="274" customFormat="false" ht="12.75" hidden="false" customHeight="false" outlineLevel="0" collapsed="false">
      <c r="A274" s="39" t="n">
        <v>38786</v>
      </c>
      <c r="B274" s="10" t="n">
        <v>4.74</v>
      </c>
    </row>
    <row r="275" customFormat="false" ht="12.75" hidden="false" customHeight="false" outlineLevel="0" collapsed="false">
      <c r="A275" s="39" t="n">
        <v>38793</v>
      </c>
      <c r="B275" s="10" t="n">
        <v>4.71</v>
      </c>
    </row>
    <row r="276" customFormat="false" ht="12.75" hidden="false" customHeight="false" outlineLevel="0" collapsed="false">
      <c r="A276" s="39" t="n">
        <v>38800</v>
      </c>
      <c r="B276" s="10" t="n">
        <v>4.69</v>
      </c>
    </row>
    <row r="277" customFormat="false" ht="12.75" hidden="false" customHeight="false" outlineLevel="0" collapsed="false">
      <c r="A277" s="39" t="n">
        <v>38807</v>
      </c>
      <c r="B277" s="10" t="n">
        <v>4.8</v>
      </c>
    </row>
    <row r="278" customFormat="false" ht="12.75" hidden="false" customHeight="false" outlineLevel="0" collapsed="false">
      <c r="A278" s="39" t="n">
        <v>38814</v>
      </c>
      <c r="B278" s="10" t="n">
        <v>4.89</v>
      </c>
    </row>
    <row r="279" customFormat="false" ht="12.75" hidden="false" customHeight="false" outlineLevel="0" collapsed="false">
      <c r="A279" s="39" t="n">
        <v>38821</v>
      </c>
      <c r="B279" s="10" t="n">
        <v>4.98</v>
      </c>
    </row>
    <row r="280" customFormat="false" ht="12.75" hidden="false" customHeight="false" outlineLevel="0" collapsed="false">
      <c r="A280" s="39" t="n">
        <v>38828</v>
      </c>
      <c r="B280" s="10" t="n">
        <v>5.02</v>
      </c>
    </row>
    <row r="281" customFormat="false" ht="12.75" hidden="false" customHeight="false" outlineLevel="0" collapsed="false">
      <c r="A281" s="39" t="n">
        <v>38835</v>
      </c>
      <c r="B281" s="10" t="n">
        <v>5.07</v>
      </c>
    </row>
    <row r="282" customFormat="false" ht="12.75" hidden="false" customHeight="false" outlineLevel="0" collapsed="false">
      <c r="A282" s="39" t="n">
        <v>38842</v>
      </c>
      <c r="B282" s="10" t="n">
        <v>5.14</v>
      </c>
    </row>
    <row r="283" customFormat="false" ht="12.75" hidden="false" customHeight="false" outlineLevel="0" collapsed="false">
      <c r="A283" s="39" t="n">
        <v>38849</v>
      </c>
      <c r="B283" s="10" t="n">
        <v>5.14</v>
      </c>
    </row>
    <row r="284" customFormat="false" ht="12.75" hidden="false" customHeight="false" outlineLevel="0" collapsed="false">
      <c r="A284" s="39" t="n">
        <v>38856</v>
      </c>
      <c r="B284" s="10" t="n">
        <v>5.11</v>
      </c>
    </row>
    <row r="285" customFormat="false" ht="12.75" hidden="false" customHeight="false" outlineLevel="0" collapsed="false">
      <c r="A285" s="39" t="n">
        <v>38863</v>
      </c>
      <c r="B285" s="10" t="n">
        <v>5.05</v>
      </c>
    </row>
    <row r="286" customFormat="false" ht="12.75" hidden="false" customHeight="false" outlineLevel="0" collapsed="false">
      <c r="A286" s="39" t="n">
        <v>38870</v>
      </c>
      <c r="B286" s="10" t="n">
        <v>5.08</v>
      </c>
    </row>
    <row r="287" customFormat="false" ht="12.75" hidden="false" customHeight="false" outlineLevel="0" collapsed="false">
      <c r="A287" s="39" t="n">
        <v>38877</v>
      </c>
      <c r="B287" s="10" t="n">
        <v>5.01</v>
      </c>
    </row>
    <row r="288" customFormat="false" ht="12.75" hidden="false" customHeight="false" outlineLevel="0" collapsed="false">
      <c r="A288" s="39" t="n">
        <v>38884</v>
      </c>
      <c r="B288" s="10" t="n">
        <v>5.05</v>
      </c>
    </row>
    <row r="289" customFormat="false" ht="12.75" hidden="false" customHeight="false" outlineLevel="0" collapsed="false">
      <c r="A289" s="39" t="n">
        <v>38891</v>
      </c>
      <c r="B289" s="10" t="n">
        <v>5.18</v>
      </c>
    </row>
    <row r="290" customFormat="false" ht="12.75" hidden="false" customHeight="false" outlineLevel="0" collapsed="false">
      <c r="A290" s="39" t="n">
        <v>38898</v>
      </c>
      <c r="B290" s="10" t="n">
        <v>5.22</v>
      </c>
    </row>
    <row r="291" customFormat="false" ht="12.75" hidden="false" customHeight="false" outlineLevel="0" collapsed="false">
      <c r="A291" s="39" t="n">
        <v>38905</v>
      </c>
      <c r="B291" s="10" t="n">
        <v>5.18</v>
      </c>
    </row>
    <row r="292" customFormat="false" ht="12.75" hidden="false" customHeight="false" outlineLevel="0" collapsed="false">
      <c r="A292" s="39" t="n">
        <v>38912</v>
      </c>
      <c r="B292" s="10" t="n">
        <v>5.1</v>
      </c>
    </row>
    <row r="293" customFormat="false" ht="12.75" hidden="false" customHeight="false" outlineLevel="0" collapsed="false">
      <c r="A293" s="39" t="n">
        <v>38919</v>
      </c>
      <c r="B293" s="10" t="n">
        <v>5.07</v>
      </c>
    </row>
    <row r="294" customFormat="false" ht="12.75" hidden="false" customHeight="false" outlineLevel="0" collapsed="false">
      <c r="A294" s="39" t="n">
        <v>38926</v>
      </c>
      <c r="B294" s="10" t="n">
        <v>5.05</v>
      </c>
    </row>
    <row r="295" customFormat="false" ht="12.75" hidden="false" customHeight="false" outlineLevel="0" collapsed="false">
      <c r="A295" s="39" t="n">
        <v>38933</v>
      </c>
      <c r="B295" s="10" t="n">
        <v>4.96</v>
      </c>
    </row>
    <row r="296" customFormat="false" ht="12.75" hidden="false" customHeight="false" outlineLevel="0" collapsed="false">
      <c r="A296" s="39" t="n">
        <v>38940</v>
      </c>
      <c r="B296" s="10" t="n">
        <v>4.94</v>
      </c>
    </row>
    <row r="297" customFormat="false" ht="12.75" hidden="false" customHeight="false" outlineLevel="0" collapsed="false">
      <c r="A297" s="39" t="n">
        <v>38947</v>
      </c>
      <c r="B297" s="10" t="n">
        <v>4.9</v>
      </c>
    </row>
    <row r="298" customFormat="false" ht="12.75" hidden="false" customHeight="false" outlineLevel="0" collapsed="false">
      <c r="A298" s="39" t="n">
        <v>38954</v>
      </c>
      <c r="B298" s="10" t="n">
        <v>4.81</v>
      </c>
    </row>
    <row r="299" customFormat="false" ht="12.75" hidden="false" customHeight="false" outlineLevel="0" collapsed="false">
      <c r="A299" s="39" t="n">
        <v>38961</v>
      </c>
      <c r="B299" s="10" t="n">
        <v>4.76</v>
      </c>
    </row>
    <row r="300" customFormat="false" ht="12.75" hidden="false" customHeight="false" outlineLevel="0" collapsed="false">
      <c r="A300" s="39" t="n">
        <v>38968</v>
      </c>
      <c r="B300" s="10" t="n">
        <v>4.79</v>
      </c>
    </row>
    <row r="301" customFormat="false" ht="12.75" hidden="false" customHeight="false" outlineLevel="0" collapsed="false">
      <c r="A301" s="39" t="n">
        <v>38975</v>
      </c>
      <c r="B301" s="10" t="n">
        <v>4.79</v>
      </c>
    </row>
    <row r="302" customFormat="false" ht="12.75" hidden="false" customHeight="false" outlineLevel="0" collapsed="false">
      <c r="A302" s="39" t="n">
        <v>38982</v>
      </c>
      <c r="B302" s="10" t="n">
        <v>4.71</v>
      </c>
    </row>
    <row r="303" customFormat="false" ht="12.75" hidden="false" customHeight="false" outlineLevel="0" collapsed="false">
      <c r="A303" s="39" t="n">
        <v>38989</v>
      </c>
      <c r="B303" s="10" t="n">
        <v>4.6</v>
      </c>
    </row>
    <row r="304" customFormat="false" ht="12.75" hidden="false" customHeight="false" outlineLevel="0" collapsed="false">
      <c r="A304" s="39" t="n">
        <v>38996</v>
      </c>
      <c r="B304" s="10" t="n">
        <v>4.62</v>
      </c>
    </row>
    <row r="305" customFormat="false" ht="12.75" hidden="false" customHeight="false" outlineLevel="0" collapsed="false">
      <c r="A305" s="39" t="n">
        <v>39003</v>
      </c>
      <c r="B305" s="10" t="n">
        <v>4.78</v>
      </c>
    </row>
    <row r="306" customFormat="false" ht="12.75" hidden="false" customHeight="false" outlineLevel="0" collapsed="false">
      <c r="A306" s="39" t="n">
        <v>39010</v>
      </c>
      <c r="B306" s="10" t="n">
        <v>4.78</v>
      </c>
    </row>
    <row r="307" customFormat="false" ht="12.75" hidden="false" customHeight="false" outlineLevel="0" collapsed="false">
      <c r="A307" s="39" t="n">
        <v>39017</v>
      </c>
      <c r="B307" s="10" t="n">
        <v>4.77</v>
      </c>
    </row>
    <row r="308" customFormat="false" ht="12.75" hidden="false" customHeight="false" outlineLevel="0" collapsed="false">
      <c r="A308" s="39" t="n">
        <v>39024</v>
      </c>
      <c r="B308" s="10" t="n">
        <v>4.64</v>
      </c>
    </row>
    <row r="309" customFormat="false" ht="12.75" hidden="false" customHeight="false" outlineLevel="0" collapsed="false">
      <c r="A309" s="39" t="n">
        <v>39031</v>
      </c>
      <c r="B309" s="10" t="n">
        <v>4.64</v>
      </c>
    </row>
    <row r="310" customFormat="false" ht="12.75" hidden="false" customHeight="false" outlineLevel="0" collapsed="false">
      <c r="A310" s="39" t="n">
        <v>39038</v>
      </c>
      <c r="B310" s="10" t="n">
        <v>4.61</v>
      </c>
    </row>
    <row r="311" customFormat="false" ht="12.75" hidden="false" customHeight="false" outlineLevel="0" collapsed="false">
      <c r="A311" s="39" t="n">
        <v>39045</v>
      </c>
      <c r="B311" s="10" t="n">
        <v>4.58</v>
      </c>
    </row>
    <row r="312" customFormat="false" ht="12.75" hidden="false" customHeight="false" outlineLevel="0" collapsed="false">
      <c r="A312" s="39" t="n">
        <v>39052</v>
      </c>
      <c r="B312" s="10" t="n">
        <v>4.49</v>
      </c>
    </row>
    <row r="313" customFormat="false" ht="12.75" hidden="false" customHeight="false" outlineLevel="0" collapsed="false">
      <c r="A313" s="39" t="n">
        <v>39059</v>
      </c>
      <c r="B313" s="10" t="n">
        <v>4.48</v>
      </c>
    </row>
    <row r="314" customFormat="false" ht="12.75" hidden="false" customHeight="false" outlineLevel="0" collapsed="false">
      <c r="A314" s="39" t="n">
        <v>39066</v>
      </c>
      <c r="B314" s="10" t="n">
        <v>4.56</v>
      </c>
    </row>
    <row r="315" customFormat="false" ht="12.75" hidden="false" customHeight="false" outlineLevel="0" collapsed="false">
      <c r="A315" s="39" t="n">
        <v>39073</v>
      </c>
      <c r="B315" s="10" t="n">
        <v>4.6</v>
      </c>
    </row>
    <row r="316" customFormat="false" ht="12.75" hidden="false" customHeight="false" outlineLevel="0" collapsed="false">
      <c r="A316" s="39" t="n">
        <v>39080</v>
      </c>
      <c r="B316" s="10" t="n">
        <v>4.67</v>
      </c>
    </row>
    <row r="317" customFormat="false" ht="12.75" hidden="false" customHeight="false" outlineLevel="0" collapsed="false">
      <c r="A317" s="39" t="n">
        <v>39087</v>
      </c>
      <c r="B317" s="10" t="n">
        <v>4.66</v>
      </c>
    </row>
    <row r="318" customFormat="false" ht="12.75" hidden="false" customHeight="false" outlineLevel="0" collapsed="false">
      <c r="A318" s="39" t="n">
        <v>39094</v>
      </c>
      <c r="B318" s="10" t="n">
        <v>4.7</v>
      </c>
    </row>
    <row r="319" customFormat="false" ht="12.75" hidden="false" customHeight="false" outlineLevel="0" collapsed="false">
      <c r="A319" s="39" t="n">
        <v>39101</v>
      </c>
      <c r="B319" s="10" t="n">
        <v>4.77</v>
      </c>
    </row>
    <row r="320" customFormat="false" ht="12.75" hidden="false" customHeight="false" outlineLevel="0" collapsed="false">
      <c r="A320" s="39" t="n">
        <v>39108</v>
      </c>
      <c r="B320" s="10" t="n">
        <v>4.83</v>
      </c>
    </row>
    <row r="321" customFormat="false" ht="12.75" hidden="false" customHeight="false" outlineLevel="0" collapsed="false">
      <c r="A321" s="39" t="n">
        <v>39115</v>
      </c>
      <c r="B321" s="10" t="n">
        <v>4.86</v>
      </c>
    </row>
    <row r="322" customFormat="false" ht="12.75" hidden="false" customHeight="false" outlineLevel="0" collapsed="false">
      <c r="A322" s="39" t="n">
        <v>39122</v>
      </c>
      <c r="B322" s="10" t="n">
        <v>4.77</v>
      </c>
    </row>
    <row r="323" customFormat="false" ht="12.75" hidden="false" customHeight="false" outlineLevel="0" collapsed="false">
      <c r="A323" s="39" t="n">
        <v>39129</v>
      </c>
      <c r="B323" s="10" t="n">
        <v>4.75</v>
      </c>
    </row>
    <row r="324" customFormat="false" ht="12.75" hidden="false" customHeight="false" outlineLevel="0" collapsed="false">
      <c r="A324" s="39" t="n">
        <v>39136</v>
      </c>
      <c r="B324" s="10" t="n">
        <v>4.7</v>
      </c>
    </row>
    <row r="325" customFormat="false" ht="12.75" hidden="false" customHeight="false" outlineLevel="0" collapsed="false">
      <c r="A325" s="39" t="n">
        <v>39143</v>
      </c>
      <c r="B325" s="10" t="n">
        <v>4.55</v>
      </c>
    </row>
    <row r="326" customFormat="false" ht="12.75" hidden="false" customHeight="false" outlineLevel="0" collapsed="false">
      <c r="A326" s="39" t="n">
        <v>39150</v>
      </c>
      <c r="B326" s="10" t="n">
        <v>4.53</v>
      </c>
    </row>
    <row r="327" customFormat="false" ht="12.75" hidden="false" customHeight="false" outlineLevel="0" collapsed="false">
      <c r="A327" s="39" t="n">
        <v>39157</v>
      </c>
      <c r="B327" s="10" t="n">
        <v>4.54</v>
      </c>
    </row>
    <row r="328" customFormat="false" ht="12.75" hidden="false" customHeight="false" outlineLevel="0" collapsed="false">
      <c r="A328" s="39" t="n">
        <v>39164</v>
      </c>
      <c r="B328" s="10" t="n">
        <v>4.58</v>
      </c>
    </row>
    <row r="329" customFormat="false" ht="12.75" hidden="false" customHeight="false" outlineLevel="0" collapsed="false">
      <c r="A329" s="39" t="n">
        <v>39171</v>
      </c>
      <c r="B329" s="10" t="n">
        <v>4.63</v>
      </c>
    </row>
    <row r="330" customFormat="false" ht="12.75" hidden="false" customHeight="false" outlineLevel="0" collapsed="false">
      <c r="A330" s="39" t="n">
        <v>39178</v>
      </c>
      <c r="B330" s="10" t="n">
        <v>4.68</v>
      </c>
    </row>
    <row r="331" customFormat="false" ht="12.75" hidden="false" customHeight="false" outlineLevel="0" collapsed="false">
      <c r="A331" s="39" t="n">
        <v>39185</v>
      </c>
      <c r="B331" s="10" t="n">
        <v>4.74</v>
      </c>
    </row>
    <row r="332" customFormat="false" ht="12.75" hidden="false" customHeight="false" outlineLevel="0" collapsed="false">
      <c r="A332" s="39" t="n">
        <v>39192</v>
      </c>
      <c r="B332" s="10" t="n">
        <v>4.69</v>
      </c>
    </row>
    <row r="333" customFormat="false" ht="12.75" hidden="false" customHeight="false" outlineLevel="0" collapsed="false">
      <c r="A333" s="39" t="n">
        <v>39199</v>
      </c>
      <c r="B333" s="10" t="n">
        <v>4.67</v>
      </c>
    </row>
    <row r="334" customFormat="false" ht="12.75" hidden="false" customHeight="false" outlineLevel="0" collapsed="false">
      <c r="A334" s="39" t="n">
        <v>39206</v>
      </c>
      <c r="B334" s="10" t="n">
        <v>4.65</v>
      </c>
    </row>
    <row r="335" customFormat="false" ht="12.75" hidden="false" customHeight="false" outlineLevel="0" collapsed="false">
      <c r="A335" s="39" t="n">
        <v>39213</v>
      </c>
      <c r="B335" s="10" t="n">
        <v>4.65</v>
      </c>
    </row>
    <row r="336" customFormat="false" ht="12.75" hidden="false" customHeight="false" outlineLevel="0" collapsed="false">
      <c r="A336" s="39" t="n">
        <v>39220</v>
      </c>
      <c r="B336" s="10" t="n">
        <v>4.74</v>
      </c>
    </row>
    <row r="337" customFormat="false" ht="12.75" hidden="false" customHeight="false" outlineLevel="0" collapsed="false">
      <c r="A337" s="39" t="n">
        <v>39227</v>
      </c>
      <c r="B337" s="10" t="n">
        <v>4.84</v>
      </c>
    </row>
    <row r="338" customFormat="false" ht="12.75" hidden="false" customHeight="false" outlineLevel="0" collapsed="false">
      <c r="A338" s="39" t="n">
        <v>39234</v>
      </c>
      <c r="B338" s="10" t="n">
        <v>4.9</v>
      </c>
    </row>
    <row r="339" customFormat="false" ht="12.75" hidden="false" customHeight="false" outlineLevel="0" collapsed="false">
      <c r="A339" s="39" t="n">
        <v>39241</v>
      </c>
      <c r="B339" s="10" t="n">
        <v>5.02</v>
      </c>
    </row>
    <row r="340" customFormat="false" ht="12.75" hidden="false" customHeight="false" outlineLevel="0" collapsed="false">
      <c r="A340" s="39" t="n">
        <v>39248</v>
      </c>
      <c r="B340" s="10" t="n">
        <v>5.2</v>
      </c>
    </row>
    <row r="341" customFormat="false" ht="12.75" hidden="false" customHeight="false" outlineLevel="0" collapsed="false">
      <c r="A341" s="39" t="n">
        <v>39255</v>
      </c>
      <c r="B341" s="10" t="n">
        <v>5.14</v>
      </c>
    </row>
    <row r="342" customFormat="false" ht="12.75" hidden="false" customHeight="false" outlineLevel="0" collapsed="false">
      <c r="A342" s="39" t="n">
        <v>39262</v>
      </c>
      <c r="B342" s="10" t="n">
        <v>5.09</v>
      </c>
    </row>
    <row r="343" customFormat="false" ht="12.75" hidden="false" customHeight="false" outlineLevel="0" collapsed="false">
      <c r="A343" s="39" t="n">
        <v>39269</v>
      </c>
      <c r="B343" s="10" t="n">
        <v>5.1</v>
      </c>
    </row>
    <row r="344" customFormat="false" ht="12.75" hidden="false" customHeight="false" outlineLevel="0" collapsed="false">
      <c r="A344" s="39" t="n">
        <v>39276</v>
      </c>
      <c r="B344" s="10" t="n">
        <v>5.1</v>
      </c>
    </row>
    <row r="345" customFormat="false" ht="12.75" hidden="false" customHeight="false" outlineLevel="0" collapsed="false">
      <c r="A345" s="39" t="n">
        <v>39283</v>
      </c>
      <c r="B345" s="10" t="n">
        <v>5.03</v>
      </c>
    </row>
    <row r="346" customFormat="false" ht="12.75" hidden="false" customHeight="false" outlineLevel="0" collapsed="false">
      <c r="A346" s="39" t="n">
        <v>39290</v>
      </c>
      <c r="B346" s="10" t="n">
        <v>4.88</v>
      </c>
    </row>
    <row r="347" customFormat="false" ht="12.75" hidden="false" customHeight="false" outlineLevel="0" collapsed="false">
      <c r="A347" s="39" t="n">
        <v>39297</v>
      </c>
      <c r="B347" s="10" t="n">
        <v>4.77</v>
      </c>
    </row>
    <row r="348" customFormat="false" ht="12.75" hidden="false" customHeight="false" outlineLevel="0" collapsed="false">
      <c r="A348" s="39" t="n">
        <v>39304</v>
      </c>
      <c r="B348" s="10" t="n">
        <v>4.79</v>
      </c>
    </row>
    <row r="349" customFormat="false" ht="12.75" hidden="false" customHeight="false" outlineLevel="0" collapsed="false">
      <c r="A349" s="39" t="n">
        <v>39311</v>
      </c>
      <c r="B349" s="10" t="n">
        <v>4.7</v>
      </c>
    </row>
    <row r="350" customFormat="false" ht="12.75" hidden="false" customHeight="false" outlineLevel="0" collapsed="false">
      <c r="A350" s="39" t="n">
        <v>39318</v>
      </c>
      <c r="B350" s="10" t="n">
        <v>4.62</v>
      </c>
    </row>
    <row r="351" customFormat="false" ht="12.75" hidden="false" customHeight="false" outlineLevel="0" collapsed="false">
      <c r="A351" s="39" t="n">
        <v>39325</v>
      </c>
      <c r="B351" s="10" t="n">
        <v>4.55</v>
      </c>
    </row>
    <row r="352" customFormat="false" ht="12.75" hidden="false" customHeight="false" outlineLevel="0" collapsed="false">
      <c r="A352" s="39" t="n">
        <v>39332</v>
      </c>
      <c r="B352" s="10" t="n">
        <v>4.48</v>
      </c>
    </row>
    <row r="353" customFormat="false" ht="12.75" hidden="false" customHeight="false" outlineLevel="0" collapsed="false">
      <c r="A353" s="39" t="n">
        <v>39339</v>
      </c>
      <c r="B353" s="10" t="n">
        <v>4.42</v>
      </c>
    </row>
    <row r="354" customFormat="false" ht="12.75" hidden="false" customHeight="false" outlineLevel="0" collapsed="false">
      <c r="A354" s="39" t="n">
        <v>39346</v>
      </c>
      <c r="B354" s="10" t="n">
        <v>4.57</v>
      </c>
    </row>
    <row r="355" customFormat="false" ht="12.75" hidden="false" customHeight="false" outlineLevel="0" collapsed="false">
      <c r="A355" s="39" t="n">
        <v>39353</v>
      </c>
      <c r="B355" s="10" t="n">
        <v>4.61</v>
      </c>
    </row>
    <row r="356" customFormat="false" ht="12.75" hidden="false" customHeight="false" outlineLevel="0" collapsed="false">
      <c r="A356" s="39" t="n">
        <v>39360</v>
      </c>
      <c r="B356" s="10" t="n">
        <v>4.57</v>
      </c>
    </row>
    <row r="357" customFormat="false" ht="12.75" hidden="false" customHeight="false" outlineLevel="0" collapsed="false">
      <c r="A357" s="39" t="n">
        <v>39367</v>
      </c>
      <c r="B357" s="10" t="n">
        <v>4.67</v>
      </c>
    </row>
    <row r="358" customFormat="false" ht="12.75" hidden="false" customHeight="false" outlineLevel="0" collapsed="false">
      <c r="A358" s="39" t="n">
        <v>39374</v>
      </c>
      <c r="B358" s="10" t="n">
        <v>4.57</v>
      </c>
    </row>
    <row r="359" customFormat="false" ht="12.75" hidden="false" customHeight="false" outlineLevel="0" collapsed="false">
      <c r="A359" s="39" t="n">
        <v>39381</v>
      </c>
      <c r="B359" s="10" t="n">
        <v>4.39</v>
      </c>
    </row>
    <row r="360" customFormat="false" ht="12.75" hidden="false" customHeight="false" outlineLevel="0" collapsed="false">
      <c r="A360" s="39" t="n">
        <v>39388</v>
      </c>
      <c r="B360" s="10" t="n">
        <v>4.39</v>
      </c>
    </row>
    <row r="361" customFormat="false" ht="12.75" hidden="false" customHeight="false" outlineLevel="0" collapsed="false">
      <c r="A361" s="39" t="n">
        <v>39395</v>
      </c>
      <c r="B361" s="10" t="n">
        <v>4.32</v>
      </c>
    </row>
    <row r="362" customFormat="false" ht="12.75" hidden="false" customHeight="false" outlineLevel="0" collapsed="false">
      <c r="A362" s="39" t="n">
        <v>39402</v>
      </c>
      <c r="B362" s="10" t="n">
        <v>4.22</v>
      </c>
    </row>
    <row r="363" customFormat="false" ht="12.75" hidden="false" customHeight="false" outlineLevel="0" collapsed="false">
      <c r="A363" s="39" t="n">
        <v>39409</v>
      </c>
      <c r="B363" s="10" t="n">
        <v>4.04</v>
      </c>
    </row>
    <row r="364" customFormat="false" ht="12.75" hidden="false" customHeight="false" outlineLevel="0" collapsed="false">
      <c r="A364" s="39" t="n">
        <v>39416</v>
      </c>
      <c r="B364" s="10" t="n">
        <v>3.94</v>
      </c>
    </row>
    <row r="365" customFormat="false" ht="12.75" hidden="false" customHeight="false" outlineLevel="0" collapsed="false">
      <c r="A365" s="39" t="n">
        <v>39423</v>
      </c>
      <c r="B365" s="10" t="n">
        <v>3.97</v>
      </c>
    </row>
    <row r="366" customFormat="false" ht="12.75" hidden="false" customHeight="false" outlineLevel="0" collapsed="false">
      <c r="A366" s="39" t="n">
        <v>39430</v>
      </c>
      <c r="B366" s="10" t="n">
        <v>4.12</v>
      </c>
    </row>
    <row r="367" customFormat="false" ht="12.75" hidden="false" customHeight="false" outlineLevel="0" collapsed="false">
      <c r="A367" s="39" t="n">
        <v>39437</v>
      </c>
      <c r="B367" s="10" t="n">
        <v>4.12</v>
      </c>
    </row>
    <row r="368" customFormat="false" ht="12.75" hidden="false" customHeight="false" outlineLevel="0" collapsed="false">
      <c r="A368" s="39" t="n">
        <v>39444</v>
      </c>
      <c r="B368" s="10" t="n">
        <v>4.21</v>
      </c>
    </row>
    <row r="369" customFormat="false" ht="12.75" hidden="false" customHeight="false" outlineLevel="0" collapsed="false">
      <c r="A369" s="39" t="n">
        <v>39451</v>
      </c>
      <c r="B369" s="10" t="n">
        <v>3.94</v>
      </c>
    </row>
    <row r="370" customFormat="false" ht="12.75" hidden="false" customHeight="false" outlineLevel="0" collapsed="false">
      <c r="A370" s="39" t="n">
        <v>39458</v>
      </c>
      <c r="B370" s="10" t="n">
        <v>3.85</v>
      </c>
    </row>
    <row r="371" customFormat="false" ht="12.75" hidden="false" customHeight="false" outlineLevel="0" collapsed="false">
      <c r="A371" s="39" t="n">
        <v>39465</v>
      </c>
      <c r="B371" s="10" t="n">
        <v>3.72</v>
      </c>
    </row>
    <row r="372" customFormat="false" ht="12.75" hidden="false" customHeight="false" outlineLevel="0" collapsed="false">
      <c r="A372" s="39" t="n">
        <v>39472</v>
      </c>
      <c r="B372" s="10" t="n">
        <v>3.58</v>
      </c>
    </row>
    <row r="373" customFormat="false" ht="12.75" hidden="false" customHeight="false" outlineLevel="0" collapsed="false">
      <c r="A373" s="39" t="n">
        <v>39479</v>
      </c>
      <c r="B373" s="10" t="n">
        <v>3.67</v>
      </c>
    </row>
    <row r="374" customFormat="false" ht="12.75" hidden="false" customHeight="false" outlineLevel="0" collapsed="false">
      <c r="A374" s="39" t="n">
        <v>39486</v>
      </c>
      <c r="B374" s="10" t="n">
        <v>3.66</v>
      </c>
    </row>
    <row r="375" customFormat="false" ht="12.75" hidden="false" customHeight="false" outlineLevel="0" collapsed="false">
      <c r="A375" s="39" t="n">
        <v>39493</v>
      </c>
      <c r="B375" s="10" t="n">
        <v>3.72</v>
      </c>
    </row>
    <row r="376" customFormat="false" ht="12.75" hidden="false" customHeight="false" outlineLevel="0" collapsed="false">
      <c r="A376" s="39" t="n">
        <v>39500</v>
      </c>
      <c r="B376" s="10" t="n">
        <v>3.85</v>
      </c>
    </row>
    <row r="377" customFormat="false" ht="12.75" hidden="false" customHeight="false" outlineLevel="0" collapsed="false">
      <c r="A377" s="39" t="n">
        <v>39507</v>
      </c>
      <c r="B377" s="10" t="n">
        <v>3.78</v>
      </c>
    </row>
    <row r="378" customFormat="false" ht="12.75" hidden="false" customHeight="false" outlineLevel="0" collapsed="false">
      <c r="A378" s="39" t="n">
        <v>39514</v>
      </c>
      <c r="B378" s="10" t="n">
        <v>3.61</v>
      </c>
    </row>
    <row r="379" customFormat="false" ht="12.75" hidden="false" customHeight="false" outlineLevel="0" collapsed="false">
      <c r="A379" s="39" t="n">
        <v>39521</v>
      </c>
      <c r="B379" s="10" t="n">
        <v>3.51</v>
      </c>
    </row>
    <row r="380" customFormat="false" ht="12.75" hidden="false" customHeight="false" outlineLevel="0" collapsed="false">
      <c r="A380" s="39" t="n">
        <v>39528</v>
      </c>
      <c r="B380" s="10" t="n">
        <v>3.39</v>
      </c>
    </row>
    <row r="381" customFormat="false" ht="12.75" hidden="false" customHeight="false" outlineLevel="0" collapsed="false">
      <c r="A381" s="39" t="n">
        <v>39535</v>
      </c>
      <c r="B381" s="10" t="n">
        <v>3.52</v>
      </c>
    </row>
    <row r="382" customFormat="false" ht="12.75" hidden="false" customHeight="false" outlineLevel="0" collapsed="false">
      <c r="A382" s="39" t="n">
        <v>39542</v>
      </c>
      <c r="B382" s="10" t="n">
        <v>3.55</v>
      </c>
    </row>
    <row r="383" customFormat="false" ht="12.75" hidden="false" customHeight="false" outlineLevel="0" collapsed="false">
      <c r="A383" s="39" t="n">
        <v>39549</v>
      </c>
      <c r="B383" s="10" t="n">
        <v>3.54</v>
      </c>
    </row>
    <row r="384" customFormat="false" ht="12.75" hidden="false" customHeight="false" outlineLevel="0" collapsed="false">
      <c r="A384" s="39" t="n">
        <v>39556</v>
      </c>
      <c r="B384" s="10" t="n">
        <v>3.67</v>
      </c>
    </row>
    <row r="385" customFormat="false" ht="12.75" hidden="false" customHeight="false" outlineLevel="0" collapsed="false">
      <c r="A385" s="39" t="n">
        <v>39563</v>
      </c>
      <c r="B385" s="10" t="n">
        <v>3.81</v>
      </c>
    </row>
    <row r="386" customFormat="false" ht="12.75" hidden="false" customHeight="false" outlineLevel="0" collapsed="false">
      <c r="A386" s="39" t="n">
        <v>39570</v>
      </c>
      <c r="B386" s="10" t="n">
        <v>3.83</v>
      </c>
    </row>
    <row r="387" customFormat="false" ht="12.75" hidden="false" customHeight="false" outlineLevel="0" collapsed="false">
      <c r="A387" s="39" t="n">
        <v>39577</v>
      </c>
      <c r="B387" s="10" t="n">
        <v>3.85</v>
      </c>
    </row>
    <row r="388" customFormat="false" ht="12.75" hidden="false" customHeight="false" outlineLevel="0" collapsed="false">
      <c r="A388" s="39" t="n">
        <v>39584</v>
      </c>
      <c r="B388" s="10" t="n">
        <v>3.86</v>
      </c>
    </row>
    <row r="389" customFormat="false" ht="12.75" hidden="false" customHeight="false" outlineLevel="0" collapsed="false">
      <c r="A389" s="39" t="n">
        <v>39591</v>
      </c>
      <c r="B389" s="10" t="n">
        <v>3.84</v>
      </c>
    </row>
    <row r="390" customFormat="false" ht="12.75" hidden="false" customHeight="false" outlineLevel="0" collapsed="false">
      <c r="A390" s="39" t="n">
        <v>39598</v>
      </c>
      <c r="B390" s="10" t="n">
        <v>4.03</v>
      </c>
    </row>
    <row r="391" customFormat="false" ht="12.75" hidden="false" customHeight="false" outlineLevel="0" collapsed="false">
      <c r="A391" s="39" t="n">
        <v>39605</v>
      </c>
      <c r="B391" s="10" t="n">
        <v>3.98</v>
      </c>
    </row>
    <row r="392" customFormat="false" ht="12.75" hidden="false" customHeight="false" outlineLevel="0" collapsed="false">
      <c r="A392" s="39" t="n">
        <v>39612</v>
      </c>
      <c r="B392" s="10" t="n">
        <v>4.15</v>
      </c>
    </row>
    <row r="393" customFormat="false" ht="12.75" hidden="false" customHeight="false" outlineLevel="0" collapsed="false">
      <c r="A393" s="39" t="n">
        <v>39619</v>
      </c>
      <c r="B393" s="10" t="n">
        <v>4.2</v>
      </c>
    </row>
    <row r="394" customFormat="false" ht="12.75" hidden="false" customHeight="false" outlineLevel="0" collapsed="false">
      <c r="A394" s="39" t="n">
        <v>39626</v>
      </c>
      <c r="B394" s="10" t="n">
        <v>4.09</v>
      </c>
    </row>
    <row r="395" customFormat="false" ht="12.75" hidden="false" customHeight="false" outlineLevel="0" collapsed="false">
      <c r="A395" s="39" t="n">
        <v>39633</v>
      </c>
      <c r="B395" s="10" t="n">
        <v>4</v>
      </c>
    </row>
    <row r="396" customFormat="false" ht="12.75" hidden="false" customHeight="false" outlineLevel="0" collapsed="false">
      <c r="A396" s="39" t="n">
        <v>39640</v>
      </c>
      <c r="B396" s="10" t="n">
        <v>3.9</v>
      </c>
    </row>
    <row r="397" customFormat="false" ht="12.75" hidden="false" customHeight="false" outlineLevel="0" collapsed="false">
      <c r="A397" s="39" t="n">
        <v>39647</v>
      </c>
      <c r="B397" s="10" t="n">
        <v>3.98</v>
      </c>
    </row>
    <row r="398" customFormat="false" ht="12.75" hidden="false" customHeight="false" outlineLevel="0" collapsed="false">
      <c r="A398" s="39" t="n">
        <v>39654</v>
      </c>
      <c r="B398" s="10" t="n">
        <v>4.11</v>
      </c>
    </row>
    <row r="399" customFormat="false" ht="12.75" hidden="false" customHeight="false" outlineLevel="0" collapsed="false">
      <c r="A399" s="39" t="n">
        <v>39661</v>
      </c>
      <c r="B399" s="10" t="n">
        <v>4.04</v>
      </c>
    </row>
    <row r="400" customFormat="false" ht="12.75" hidden="false" customHeight="false" outlineLevel="0" collapsed="false">
      <c r="A400" s="39" t="n">
        <v>39668</v>
      </c>
      <c r="B400" s="10" t="n">
        <v>3.99</v>
      </c>
    </row>
    <row r="401" customFormat="false" ht="12.75" hidden="false" customHeight="false" outlineLevel="0" collapsed="false">
      <c r="A401" s="39" t="n">
        <v>39675</v>
      </c>
      <c r="B401" s="10" t="n">
        <v>3.91</v>
      </c>
    </row>
    <row r="402" customFormat="false" ht="12.75" hidden="false" customHeight="false" outlineLevel="0" collapsed="false">
      <c r="A402" s="39" t="n">
        <v>39682</v>
      </c>
      <c r="B402" s="10" t="n">
        <v>3.83</v>
      </c>
    </row>
    <row r="403" customFormat="false" ht="12.75" hidden="false" customHeight="false" outlineLevel="0" collapsed="false">
      <c r="A403" s="39" t="n">
        <v>39689</v>
      </c>
      <c r="B403" s="10" t="n">
        <v>3.79</v>
      </c>
    </row>
    <row r="404" customFormat="false" ht="12.75" hidden="false" customHeight="false" outlineLevel="0" collapsed="false">
      <c r="A404" s="39" t="n">
        <v>39696</v>
      </c>
      <c r="B404" s="10" t="n">
        <v>3.69</v>
      </c>
    </row>
    <row r="405" customFormat="false" ht="12.75" hidden="false" customHeight="false" outlineLevel="0" collapsed="false">
      <c r="A405" s="39" t="n">
        <v>39703</v>
      </c>
      <c r="B405" s="10" t="n">
        <v>3.66</v>
      </c>
    </row>
    <row r="406" customFormat="false" ht="12.75" hidden="false" customHeight="false" outlineLevel="0" collapsed="false">
      <c r="A406" s="39" t="n">
        <v>39710</v>
      </c>
      <c r="B406" s="10" t="n">
        <v>3.54</v>
      </c>
    </row>
    <row r="407" customFormat="false" ht="12.75" hidden="false" customHeight="false" outlineLevel="0" collapsed="false">
      <c r="A407" s="39" t="n">
        <v>39717</v>
      </c>
      <c r="B407" s="10" t="n">
        <v>3.84</v>
      </c>
    </row>
    <row r="408" customFormat="false" ht="12.75" hidden="false" customHeight="false" outlineLevel="0" collapsed="false">
      <c r="A408" s="39" t="n">
        <v>39724</v>
      </c>
      <c r="B408" s="10" t="n">
        <v>3.7</v>
      </c>
    </row>
    <row r="409" customFormat="false" ht="12.75" hidden="false" customHeight="false" outlineLevel="0" collapsed="false">
      <c r="A409" s="39" t="n">
        <v>39731</v>
      </c>
      <c r="B409" s="10" t="n">
        <v>3.69</v>
      </c>
    </row>
    <row r="410" customFormat="false" ht="12.75" hidden="false" customHeight="false" outlineLevel="0" collapsed="false">
      <c r="A410" s="39" t="n">
        <v>39738</v>
      </c>
      <c r="B410" s="10" t="n">
        <v>4.02</v>
      </c>
    </row>
    <row r="411" customFormat="false" ht="12.75" hidden="false" customHeight="false" outlineLevel="0" collapsed="false">
      <c r="A411" s="39" t="n">
        <v>39745</v>
      </c>
      <c r="B411" s="10" t="n">
        <v>3.74</v>
      </c>
    </row>
    <row r="412" customFormat="false" ht="12.75" hidden="false" customHeight="false" outlineLevel="0" collapsed="false">
      <c r="A412" s="39" t="n">
        <v>39752</v>
      </c>
      <c r="B412" s="10" t="n">
        <v>3.92</v>
      </c>
    </row>
    <row r="413" customFormat="false" ht="12.75" hidden="false" customHeight="false" outlineLevel="0" collapsed="false">
      <c r="A413" s="39" t="n">
        <v>39759</v>
      </c>
      <c r="B413" s="10" t="n">
        <v>3.82</v>
      </c>
    </row>
    <row r="414" customFormat="false" ht="12.75" hidden="false" customHeight="false" outlineLevel="0" collapsed="false">
      <c r="A414" s="39" t="n">
        <v>39766</v>
      </c>
      <c r="B414" s="10" t="n">
        <v>3.78</v>
      </c>
    </row>
    <row r="415" customFormat="false" ht="12.75" hidden="false" customHeight="false" outlineLevel="0" collapsed="false">
      <c r="A415" s="39" t="n">
        <v>39773</v>
      </c>
      <c r="B415" s="10" t="n">
        <v>3.38</v>
      </c>
    </row>
    <row r="416" customFormat="false" ht="12.75" hidden="false" customHeight="false" outlineLevel="0" collapsed="false">
      <c r="A416" s="39" t="n">
        <v>39780</v>
      </c>
      <c r="B416" s="10" t="n">
        <v>3.1</v>
      </c>
    </row>
    <row r="417" customFormat="false" ht="12.75" hidden="false" customHeight="false" outlineLevel="0" collapsed="false">
      <c r="A417" s="39" t="n">
        <v>39787</v>
      </c>
      <c r="B417" s="10" t="n">
        <v>2.66</v>
      </c>
    </row>
    <row r="418" customFormat="false" ht="12.75" hidden="false" customHeight="false" outlineLevel="0" collapsed="false">
      <c r="A418" s="39" t="n">
        <v>39794</v>
      </c>
      <c r="B418" s="10" t="n">
        <v>2.67</v>
      </c>
    </row>
    <row r="419" customFormat="false" ht="12.75" hidden="false" customHeight="false" outlineLevel="0" collapsed="false">
      <c r="A419" s="39" t="n">
        <v>39801</v>
      </c>
      <c r="B419" s="10" t="n">
        <v>2.26</v>
      </c>
    </row>
    <row r="420" customFormat="false" ht="12.75" hidden="false" customHeight="false" outlineLevel="0" collapsed="false">
      <c r="A420" s="39" t="n">
        <v>39808</v>
      </c>
      <c r="B420" s="10" t="n">
        <v>2.18</v>
      </c>
    </row>
    <row r="421" customFormat="false" ht="12.75" hidden="false" customHeight="false" outlineLevel="0" collapsed="false">
      <c r="A421" s="39" t="n">
        <v>39815</v>
      </c>
      <c r="B421" s="10" t="n">
        <v>2.24</v>
      </c>
    </row>
    <row r="422" customFormat="false" ht="12.75" hidden="false" customHeight="false" outlineLevel="0" collapsed="false">
      <c r="A422" s="39" t="n">
        <v>39822</v>
      </c>
      <c r="B422" s="10" t="n">
        <v>2.48</v>
      </c>
    </row>
    <row r="423" customFormat="false" ht="12.75" hidden="false" customHeight="false" outlineLevel="0" collapsed="false">
      <c r="A423" s="39" t="n">
        <v>39829</v>
      </c>
      <c r="B423" s="10" t="n">
        <v>2.3</v>
      </c>
    </row>
    <row r="424" customFormat="false" ht="12.75" hidden="false" customHeight="false" outlineLevel="0" collapsed="false">
      <c r="A424" s="39" t="n">
        <v>39836</v>
      </c>
      <c r="B424" s="10" t="n">
        <v>2.56</v>
      </c>
    </row>
    <row r="425" customFormat="false" ht="12.75" hidden="false" customHeight="false" outlineLevel="0" collapsed="false">
      <c r="A425" s="39" t="n">
        <v>39843</v>
      </c>
      <c r="B425" s="10" t="n">
        <v>2.75</v>
      </c>
    </row>
    <row r="426" customFormat="false" ht="12.75" hidden="false" customHeight="false" outlineLevel="0" collapsed="false">
      <c r="A426" s="39" t="n">
        <v>39850</v>
      </c>
      <c r="B426" s="10" t="n">
        <v>2.92</v>
      </c>
    </row>
    <row r="427" customFormat="false" ht="12.75" hidden="false" customHeight="false" outlineLevel="0" collapsed="false">
      <c r="A427" s="39" t="n">
        <v>39857</v>
      </c>
      <c r="B427" s="10" t="n">
        <v>2.88</v>
      </c>
    </row>
    <row r="428" customFormat="false" ht="12.75" hidden="false" customHeight="false" outlineLevel="0" collapsed="false">
      <c r="A428" s="39" t="n">
        <v>39864</v>
      </c>
      <c r="B428" s="10" t="n">
        <v>2.75</v>
      </c>
    </row>
    <row r="429" customFormat="false" ht="12.75" hidden="false" customHeight="false" outlineLevel="0" collapsed="false">
      <c r="A429" s="39" t="n">
        <v>39871</v>
      </c>
      <c r="B429" s="10" t="n">
        <v>2.91</v>
      </c>
    </row>
    <row r="430" customFormat="false" ht="12.75" hidden="false" customHeight="false" outlineLevel="0" collapsed="false">
      <c r="A430" s="39" t="n">
        <v>39878</v>
      </c>
      <c r="B430" s="10" t="n">
        <v>2.9</v>
      </c>
    </row>
    <row r="431" customFormat="false" ht="12.75" hidden="false" customHeight="false" outlineLevel="0" collapsed="false">
      <c r="A431" s="39" t="n">
        <v>39885</v>
      </c>
      <c r="B431" s="10" t="n">
        <v>2.92</v>
      </c>
    </row>
    <row r="432" customFormat="false" ht="12.75" hidden="false" customHeight="false" outlineLevel="0" collapsed="false">
      <c r="A432" s="39" t="n">
        <v>39892</v>
      </c>
      <c r="B432" s="10" t="n">
        <v>2.75</v>
      </c>
    </row>
    <row r="433" customFormat="false" ht="12.75" hidden="false" customHeight="false" outlineLevel="0" collapsed="false">
      <c r="A433" s="39" t="n">
        <v>39899</v>
      </c>
      <c r="B433" s="10" t="n">
        <v>2.74</v>
      </c>
    </row>
    <row r="434" customFormat="false" ht="12.75" hidden="false" customHeight="false" outlineLevel="0" collapsed="false">
      <c r="A434" s="39" t="n">
        <v>39906</v>
      </c>
      <c r="B434" s="10" t="n">
        <v>2.76</v>
      </c>
    </row>
    <row r="435" customFormat="false" ht="12.75" hidden="false" customHeight="false" outlineLevel="0" collapsed="false">
      <c r="A435" s="39" t="n">
        <v>39913</v>
      </c>
      <c r="B435" s="10" t="n">
        <v>2.93</v>
      </c>
    </row>
    <row r="436" customFormat="false" ht="12.75" hidden="false" customHeight="false" outlineLevel="0" collapsed="false">
      <c r="A436" s="39" t="n">
        <v>39920</v>
      </c>
      <c r="B436" s="10" t="n">
        <v>2.87</v>
      </c>
    </row>
    <row r="437" customFormat="false" ht="12.75" hidden="false" customHeight="false" outlineLevel="0" collapsed="false">
      <c r="A437" s="39" t="n">
        <v>39927</v>
      </c>
      <c r="B437" s="10" t="n">
        <v>2.96</v>
      </c>
    </row>
    <row r="438" customFormat="false" ht="12.75" hidden="false" customHeight="false" outlineLevel="0" collapsed="false">
      <c r="A438" s="39" t="n">
        <v>39934</v>
      </c>
      <c r="B438" s="10" t="n">
        <v>3.1</v>
      </c>
    </row>
    <row r="439" customFormat="false" ht="12.75" hidden="false" customHeight="false" outlineLevel="0" collapsed="false">
      <c r="A439" s="39" t="n">
        <v>39941</v>
      </c>
      <c r="B439" s="10" t="n">
        <v>3.23</v>
      </c>
    </row>
    <row r="440" customFormat="false" ht="12.75" hidden="false" customHeight="false" outlineLevel="0" collapsed="false">
      <c r="A440" s="39" t="n">
        <v>39948</v>
      </c>
      <c r="B440" s="10" t="n">
        <v>3.14</v>
      </c>
    </row>
    <row r="441" customFormat="false" ht="12.75" hidden="false" customHeight="false" outlineLevel="0" collapsed="false">
      <c r="A441" s="39" t="n">
        <v>39955</v>
      </c>
      <c r="B441" s="10" t="n">
        <v>3.29</v>
      </c>
    </row>
    <row r="442" customFormat="false" ht="12.75" hidden="false" customHeight="false" outlineLevel="0" collapsed="false">
      <c r="A442" s="39" t="n">
        <v>39962</v>
      </c>
      <c r="B442" s="10" t="n">
        <v>3.59</v>
      </c>
    </row>
    <row r="443" customFormat="false" ht="12.75" hidden="false" customHeight="false" outlineLevel="0" collapsed="false">
      <c r="A443" s="39" t="n">
        <v>39969</v>
      </c>
      <c r="B443" s="10" t="n">
        <v>3.7</v>
      </c>
    </row>
    <row r="444" customFormat="false" ht="12.75" hidden="false" customHeight="false" outlineLevel="0" collapsed="false">
      <c r="A444" s="39" t="n">
        <v>39976</v>
      </c>
      <c r="B444" s="10" t="n">
        <v>3.89</v>
      </c>
    </row>
    <row r="445" customFormat="false" ht="12.75" hidden="false" customHeight="false" outlineLevel="0" collapsed="false">
      <c r="A445" s="39" t="n">
        <v>39983</v>
      </c>
      <c r="B445" s="10" t="n">
        <v>3.75</v>
      </c>
    </row>
    <row r="446" customFormat="false" ht="12.75" hidden="false" customHeight="false" outlineLevel="0" collapsed="false">
      <c r="A446" s="39" t="n">
        <v>39990</v>
      </c>
      <c r="B446" s="10" t="n">
        <v>3.63</v>
      </c>
    </row>
    <row r="447" customFormat="false" ht="12.75" hidden="false" customHeight="false" outlineLevel="0" collapsed="false">
      <c r="A447" s="39" t="n">
        <v>39997</v>
      </c>
      <c r="B447" s="10" t="n">
        <v>3.53</v>
      </c>
    </row>
    <row r="448" customFormat="false" ht="12.75" hidden="false" customHeight="false" outlineLevel="0" collapsed="false">
      <c r="A448" s="39" t="n">
        <v>40004</v>
      </c>
      <c r="B448" s="10" t="n">
        <v>3.42</v>
      </c>
    </row>
    <row r="449" customFormat="false" ht="12.75" hidden="false" customHeight="false" outlineLevel="0" collapsed="false">
      <c r="A449" s="39" t="n">
        <v>40011</v>
      </c>
      <c r="B449" s="10" t="n">
        <v>3.55</v>
      </c>
    </row>
    <row r="450" customFormat="false" ht="12.75" hidden="false" customHeight="false" outlineLevel="0" collapsed="false">
      <c r="A450" s="39" t="n">
        <v>40018</v>
      </c>
      <c r="B450" s="10" t="n">
        <v>3.62</v>
      </c>
    </row>
    <row r="451" customFormat="false" ht="12.75" hidden="false" customHeight="false" outlineLevel="0" collapsed="false">
      <c r="A451" s="39" t="n">
        <v>40025</v>
      </c>
      <c r="B451" s="10" t="n">
        <v>3.67</v>
      </c>
    </row>
    <row r="452" customFormat="false" ht="12.75" hidden="false" customHeight="false" outlineLevel="0" collapsed="false">
      <c r="A452" s="39" t="n">
        <v>40032</v>
      </c>
      <c r="B452" s="10" t="n">
        <v>3.77</v>
      </c>
    </row>
    <row r="453" customFormat="false" ht="12.75" hidden="false" customHeight="false" outlineLevel="0" collapsed="false">
      <c r="A453" s="39" t="n">
        <v>40039</v>
      </c>
      <c r="B453" s="10" t="n">
        <v>3.67</v>
      </c>
    </row>
    <row r="454" customFormat="false" ht="12.75" hidden="false" customHeight="false" outlineLevel="0" collapsed="false">
      <c r="A454" s="39" t="n">
        <v>40046</v>
      </c>
      <c r="B454" s="10" t="n">
        <v>3.48</v>
      </c>
    </row>
    <row r="455" customFormat="false" ht="12.75" hidden="false" customHeight="false" outlineLevel="0" collapsed="false">
      <c r="A455" s="39" t="n">
        <v>40053</v>
      </c>
      <c r="B455" s="10" t="n">
        <v>3.46</v>
      </c>
    </row>
    <row r="456" customFormat="false" ht="12.75" hidden="false" customHeight="false" outlineLevel="0" collapsed="false">
      <c r="A456" s="39" t="n">
        <v>40060</v>
      </c>
      <c r="B456" s="10" t="n">
        <v>3.37</v>
      </c>
    </row>
    <row r="457" customFormat="false" ht="12.75" hidden="false" customHeight="false" outlineLevel="0" collapsed="false">
      <c r="A457" s="39" t="n">
        <v>40067</v>
      </c>
      <c r="B457" s="10" t="n">
        <v>3.41</v>
      </c>
    </row>
    <row r="458" customFormat="false" ht="12.75" hidden="false" customHeight="false" outlineLevel="0" collapsed="false">
      <c r="A458" s="39" t="n">
        <v>40074</v>
      </c>
      <c r="B458" s="10" t="n">
        <v>3.46</v>
      </c>
    </row>
    <row r="459" customFormat="false" ht="12.75" hidden="false" customHeight="false" outlineLevel="0" collapsed="false">
      <c r="A459" s="39" t="n">
        <v>40081</v>
      </c>
      <c r="B459" s="10" t="n">
        <v>3.43</v>
      </c>
    </row>
    <row r="460" customFormat="false" ht="12.75" hidden="false" customHeight="false" outlineLevel="0" collapsed="false">
      <c r="A460" s="39" t="n">
        <v>40088</v>
      </c>
      <c r="B460" s="10" t="n">
        <v>3.28</v>
      </c>
    </row>
    <row r="461" customFormat="false" ht="12.75" hidden="false" customHeight="false" outlineLevel="0" collapsed="false">
      <c r="A461" s="39" t="n">
        <v>40095</v>
      </c>
      <c r="B461" s="10" t="n">
        <v>3.28</v>
      </c>
    </row>
    <row r="462" customFormat="false" ht="12.75" hidden="false" customHeight="false" outlineLevel="0" collapsed="false">
      <c r="A462" s="39" t="n">
        <v>40102</v>
      </c>
      <c r="B462" s="10" t="n">
        <v>3.43</v>
      </c>
    </row>
    <row r="463" customFormat="false" ht="12.75" hidden="false" customHeight="false" outlineLevel="0" collapsed="false">
      <c r="A463" s="39" t="n">
        <v>40109</v>
      </c>
      <c r="B463" s="10" t="n">
        <v>3.43</v>
      </c>
    </row>
    <row r="464" customFormat="false" ht="12.75" hidden="false" customHeight="false" outlineLevel="0" collapsed="false">
      <c r="A464" s="39" t="n">
        <v>40116</v>
      </c>
      <c r="B464" s="10" t="n">
        <v>3.49</v>
      </c>
    </row>
    <row r="465" customFormat="false" ht="12.75" hidden="false" customHeight="false" outlineLevel="0" collapsed="false">
      <c r="A465" s="39" t="n">
        <v>40123</v>
      </c>
      <c r="B465" s="10" t="n">
        <v>3.53</v>
      </c>
    </row>
    <row r="466" customFormat="false" ht="12.75" hidden="false" customHeight="false" outlineLevel="0" collapsed="false">
      <c r="A466" s="39" t="n">
        <v>40130</v>
      </c>
      <c r="B466" s="10" t="n">
        <v>3.48</v>
      </c>
    </row>
    <row r="467" customFormat="false" ht="12.75" hidden="false" customHeight="false" outlineLevel="0" collapsed="false">
      <c r="A467" s="39" t="n">
        <v>40137</v>
      </c>
      <c r="B467" s="10" t="n">
        <v>3.35</v>
      </c>
    </row>
    <row r="468" customFormat="false" ht="12.75" hidden="false" customHeight="false" outlineLevel="0" collapsed="false">
      <c r="A468" s="39" t="n">
        <v>40144</v>
      </c>
      <c r="B468" s="10" t="n">
        <v>3.3</v>
      </c>
    </row>
    <row r="469" customFormat="false" ht="12.75" hidden="false" customHeight="false" outlineLevel="0" collapsed="false">
      <c r="A469" s="39" t="n">
        <v>40151</v>
      </c>
      <c r="B469" s="10" t="n">
        <v>3.34</v>
      </c>
    </row>
    <row r="470" customFormat="false" ht="12.75" hidden="false" customHeight="false" outlineLevel="0" collapsed="false">
      <c r="A470" s="39" t="n">
        <v>40158</v>
      </c>
      <c r="B470" s="10" t="n">
        <v>3.47</v>
      </c>
    </row>
    <row r="471" customFormat="false" ht="12.75" hidden="false" customHeight="false" outlineLevel="0" collapsed="false">
      <c r="A471" s="39" t="n">
        <v>40165</v>
      </c>
      <c r="B471" s="10" t="n">
        <v>3.56</v>
      </c>
    </row>
    <row r="472" customFormat="false" ht="12.75" hidden="false" customHeight="false" outlineLevel="0" collapsed="false">
      <c r="A472" s="39" t="n">
        <v>40172</v>
      </c>
      <c r="B472" s="10" t="n">
        <v>3.76</v>
      </c>
    </row>
    <row r="473" customFormat="false" ht="12.75" hidden="false" customHeight="false" outlineLevel="0" collapsed="false">
      <c r="A473" s="39" t="n">
        <v>40179</v>
      </c>
      <c r="B473" s="10" t="n">
        <v>3.83</v>
      </c>
    </row>
    <row r="474" customFormat="false" ht="12.75" hidden="false" customHeight="false" outlineLevel="0" collapsed="false">
      <c r="A474" s="39" t="n">
        <v>40186</v>
      </c>
      <c r="B474" s="10" t="n">
        <v>3.83</v>
      </c>
    </row>
    <row r="475" customFormat="false" ht="12.75" hidden="false" customHeight="false" outlineLevel="0" collapsed="false">
      <c r="A475" s="39" t="n">
        <v>40193</v>
      </c>
      <c r="B475" s="10" t="n">
        <v>3.77</v>
      </c>
    </row>
    <row r="476" customFormat="false" ht="12.75" hidden="false" customHeight="false" outlineLevel="0" collapsed="false">
      <c r="A476" s="39" t="n">
        <v>40200</v>
      </c>
      <c r="B476" s="10" t="n">
        <v>3.66</v>
      </c>
    </row>
    <row r="477" customFormat="false" ht="12.75" hidden="false" customHeight="false" outlineLevel="0" collapsed="false">
      <c r="A477" s="39" t="n">
        <v>40207</v>
      </c>
      <c r="B477" s="10" t="n">
        <v>3.66</v>
      </c>
    </row>
    <row r="478" customFormat="false" ht="12.75" hidden="false" customHeight="false" outlineLevel="0" collapsed="false">
      <c r="A478" s="39" t="n">
        <v>40214</v>
      </c>
      <c r="B478" s="10" t="n">
        <v>3.66</v>
      </c>
    </row>
    <row r="479" customFormat="false" ht="12.75" hidden="false" customHeight="false" outlineLevel="0" collapsed="false">
      <c r="A479" s="39" t="n">
        <v>40221</v>
      </c>
      <c r="B479" s="10" t="n">
        <v>3.69</v>
      </c>
    </row>
    <row r="480" customFormat="false" ht="12.75" hidden="false" customHeight="false" outlineLevel="0" collapsed="false">
      <c r="A480" s="39" t="n">
        <v>40228</v>
      </c>
      <c r="B480" s="10" t="n">
        <v>3.74</v>
      </c>
    </row>
    <row r="481" customFormat="false" ht="12.75" hidden="false" customHeight="false" outlineLevel="0" collapsed="false">
      <c r="A481" s="39" t="n">
        <v>40235</v>
      </c>
      <c r="B481" s="10" t="n">
        <v>3.69</v>
      </c>
    </row>
    <row r="482" customFormat="false" ht="12.75" hidden="false" customHeight="false" outlineLevel="0" collapsed="false">
      <c r="A482" s="39" t="n">
        <v>40242</v>
      </c>
      <c r="B482" s="10" t="n">
        <v>3.63</v>
      </c>
    </row>
    <row r="483" customFormat="false" ht="12.75" hidden="false" customHeight="false" outlineLevel="0" collapsed="false">
      <c r="A483" s="39" t="n">
        <v>40249</v>
      </c>
      <c r="B483" s="10" t="n">
        <v>3.72</v>
      </c>
    </row>
    <row r="484" customFormat="false" ht="12.75" hidden="false" customHeight="false" outlineLevel="0" collapsed="false">
      <c r="A484" s="39" t="n">
        <v>40256</v>
      </c>
      <c r="B484" s="10" t="n">
        <v>3.68</v>
      </c>
    </row>
    <row r="485" customFormat="false" ht="12.75" hidden="false" customHeight="false" outlineLevel="0" collapsed="false">
      <c r="A485" s="39" t="n">
        <v>40263</v>
      </c>
      <c r="B485" s="10" t="n">
        <v>3.79</v>
      </c>
    </row>
    <row r="486" customFormat="false" ht="12.75" hidden="false" customHeight="false" outlineLevel="0" collapsed="false">
      <c r="A486" s="39" t="n">
        <v>40270</v>
      </c>
      <c r="B486" s="10" t="n">
        <v>3.89</v>
      </c>
    </row>
    <row r="487" customFormat="false" ht="12.75" hidden="false" customHeight="false" outlineLevel="0" collapsed="false">
      <c r="A487" s="39" t="n">
        <v>40277</v>
      </c>
      <c r="B487" s="10" t="n">
        <v>3.94</v>
      </c>
    </row>
    <row r="488" customFormat="false" ht="12.75" hidden="false" customHeight="false" outlineLevel="0" collapsed="false">
      <c r="A488" s="39" t="n">
        <v>40284</v>
      </c>
      <c r="B488" s="10" t="n">
        <v>3.85</v>
      </c>
    </row>
    <row r="489" customFormat="false" ht="12.75" hidden="false" customHeight="false" outlineLevel="0" collapsed="false">
      <c r="A489" s="39" t="n">
        <v>40291</v>
      </c>
      <c r="B489" s="10" t="n">
        <v>3.81</v>
      </c>
    </row>
    <row r="490" customFormat="false" ht="12.75" hidden="false" customHeight="false" outlineLevel="0" collapsed="false">
      <c r="A490" s="39" t="n">
        <v>40298</v>
      </c>
      <c r="B490" s="10" t="n">
        <v>3.76</v>
      </c>
    </row>
    <row r="491" customFormat="false" ht="12.75" hidden="false" customHeight="false" outlineLevel="0" collapsed="false">
      <c r="A491" s="39" t="n">
        <v>40305</v>
      </c>
      <c r="B491" s="10" t="n">
        <v>3.56</v>
      </c>
    </row>
    <row r="492" customFormat="false" ht="12.75" hidden="false" customHeight="false" outlineLevel="0" collapsed="false">
      <c r="A492" s="39" t="n">
        <v>40312</v>
      </c>
      <c r="B492" s="10" t="n">
        <v>3.54</v>
      </c>
    </row>
    <row r="493" customFormat="false" ht="12.75" hidden="false" customHeight="false" outlineLevel="0" collapsed="false">
      <c r="A493" s="39" t="n">
        <v>40319</v>
      </c>
      <c r="B493" s="10" t="n">
        <v>3.33</v>
      </c>
    </row>
    <row r="494" customFormat="false" ht="12.75" hidden="false" customHeight="false" outlineLevel="0" collapsed="false">
      <c r="A494" s="39" t="n">
        <v>40326</v>
      </c>
      <c r="B494" s="10" t="n">
        <v>3.25</v>
      </c>
    </row>
    <row r="495" customFormat="false" ht="12.75" hidden="false" customHeight="false" outlineLevel="0" collapsed="false">
      <c r="A495" s="39" t="n">
        <v>40333</v>
      </c>
      <c r="B495" s="10" t="n">
        <v>3.31</v>
      </c>
    </row>
    <row r="496" customFormat="false" ht="12.75" hidden="false" customHeight="false" outlineLevel="0" collapsed="false">
      <c r="A496" s="39" t="n">
        <v>40340</v>
      </c>
      <c r="B496" s="10" t="n">
        <v>3.22</v>
      </c>
    </row>
    <row r="497" customFormat="false" ht="12.75" hidden="false" customHeight="false" outlineLevel="0" collapsed="false">
      <c r="A497" s="39" t="n">
        <v>40347</v>
      </c>
      <c r="B497" s="10" t="n">
        <v>3.26</v>
      </c>
    </row>
    <row r="498" customFormat="false" ht="12.75" hidden="false" customHeight="false" outlineLevel="0" collapsed="false">
      <c r="A498" s="39" t="n">
        <v>40354</v>
      </c>
      <c r="B498" s="10" t="n">
        <v>3.17</v>
      </c>
    </row>
    <row r="499" customFormat="false" ht="12.75" hidden="false" customHeight="false" outlineLevel="0" collapsed="false">
      <c r="A499" s="39" t="n">
        <v>40361</v>
      </c>
      <c r="B499" s="10" t="n">
        <v>2.99</v>
      </c>
    </row>
    <row r="500" customFormat="false" ht="12.75" hidden="false" customHeight="false" outlineLevel="0" collapsed="false">
      <c r="A500" s="39" t="n">
        <v>40368</v>
      </c>
      <c r="B500" s="10" t="n">
        <v>3.02</v>
      </c>
    </row>
    <row r="501" customFormat="false" ht="12.75" hidden="false" customHeight="false" outlineLevel="0" collapsed="false">
      <c r="A501" s="39" t="n">
        <v>40375</v>
      </c>
      <c r="B501" s="10" t="n">
        <v>3.05</v>
      </c>
    </row>
    <row r="502" customFormat="false" ht="12.75" hidden="false" customHeight="false" outlineLevel="0" collapsed="false">
      <c r="A502" s="39" t="n">
        <v>40382</v>
      </c>
      <c r="B502" s="10" t="n">
        <v>2.97</v>
      </c>
    </row>
    <row r="503" customFormat="false" ht="12.75" hidden="false" customHeight="false" outlineLevel="0" collapsed="false">
      <c r="A503" s="39" t="n">
        <v>40389</v>
      </c>
      <c r="B503" s="10" t="n">
        <v>3.02</v>
      </c>
    </row>
    <row r="504" customFormat="false" ht="12.75" hidden="false" customHeight="false" outlineLevel="0" collapsed="false">
      <c r="A504" s="39" t="n">
        <v>40396</v>
      </c>
      <c r="B504" s="10" t="n">
        <v>2.94</v>
      </c>
    </row>
    <row r="505" customFormat="false" ht="12.75" hidden="false" customHeight="false" outlineLevel="0" collapsed="false">
      <c r="A505" s="39" t="n">
        <v>40403</v>
      </c>
      <c r="B505" s="10" t="n">
        <v>2.76</v>
      </c>
    </row>
    <row r="506" customFormat="false" ht="12.75" hidden="false" customHeight="false" outlineLevel="0" collapsed="false">
      <c r="A506" s="39" t="n">
        <v>40410</v>
      </c>
      <c r="B506" s="10" t="n">
        <v>2.61</v>
      </c>
    </row>
    <row r="507" customFormat="false" ht="12.75" hidden="false" customHeight="false" outlineLevel="0" collapsed="false">
      <c r="A507" s="39" t="n">
        <v>40417</v>
      </c>
      <c r="B507" s="10" t="n">
        <v>2.56</v>
      </c>
    </row>
    <row r="508" customFormat="false" ht="12.75" hidden="false" customHeight="false" outlineLevel="0" collapsed="false">
      <c r="A508" s="39" t="n">
        <v>40424</v>
      </c>
      <c r="B508" s="10" t="n">
        <v>2.59</v>
      </c>
    </row>
    <row r="509" customFormat="false" ht="12.75" hidden="false" customHeight="false" outlineLevel="0" collapsed="false">
      <c r="A509" s="39" t="n">
        <v>40431</v>
      </c>
      <c r="B509" s="10" t="n">
        <v>2.71</v>
      </c>
    </row>
    <row r="510" customFormat="false" ht="12.75" hidden="false" customHeight="false" outlineLevel="0" collapsed="false">
      <c r="A510" s="39" t="n">
        <v>40438</v>
      </c>
      <c r="B510" s="10" t="n">
        <v>2.74</v>
      </c>
    </row>
    <row r="511" customFormat="false" ht="12.75" hidden="false" customHeight="false" outlineLevel="0" collapsed="false">
      <c r="A511" s="39" t="n">
        <v>40445</v>
      </c>
      <c r="B511" s="10" t="n">
        <v>2.61</v>
      </c>
    </row>
    <row r="512" customFormat="false" ht="12.75" hidden="false" customHeight="false" outlineLevel="0" collapsed="false">
      <c r="A512" s="39" t="n">
        <v>40452</v>
      </c>
      <c r="B512" s="10" t="n">
        <v>2.52</v>
      </c>
    </row>
    <row r="513" customFormat="false" ht="12.75" hidden="false" customHeight="false" outlineLevel="0" collapsed="false">
      <c r="A513" s="39" t="n">
        <v>40459</v>
      </c>
      <c r="B513" s="10" t="n">
        <v>2.45</v>
      </c>
    </row>
    <row r="514" customFormat="false" ht="12.75" hidden="false" customHeight="false" outlineLevel="0" collapsed="false">
      <c r="A514" s="39" t="n">
        <v>40466</v>
      </c>
      <c r="B514" s="10" t="n">
        <v>2.5</v>
      </c>
    </row>
    <row r="515" customFormat="false" ht="12.75" hidden="false" customHeight="false" outlineLevel="0" collapsed="false">
      <c r="A515" s="39" t="n">
        <v>40473</v>
      </c>
      <c r="B515" s="10" t="n">
        <v>2.54</v>
      </c>
    </row>
    <row r="516" customFormat="false" ht="12.75" hidden="false" customHeight="false" outlineLevel="0" collapsed="false">
      <c r="A516" s="39" t="n">
        <v>40480</v>
      </c>
      <c r="B516" s="10" t="n">
        <v>2.67</v>
      </c>
    </row>
    <row r="517" customFormat="false" ht="12.75" hidden="false" customHeight="false" outlineLevel="0" collapsed="false">
      <c r="A517" s="39" t="n">
        <v>40487</v>
      </c>
      <c r="B517" s="10" t="n">
        <v>2.61</v>
      </c>
    </row>
    <row r="518" customFormat="false" ht="12.75" hidden="false" customHeight="false" outlineLevel="0" collapsed="false">
      <c r="A518" s="39" t="n">
        <v>40494</v>
      </c>
      <c r="B518" s="10" t="n">
        <v>2.68</v>
      </c>
    </row>
    <row r="519" customFormat="false" ht="12.75" hidden="false" customHeight="false" outlineLevel="0" collapsed="false">
      <c r="A519" s="39" t="n">
        <v>40501</v>
      </c>
      <c r="B519" s="10" t="n">
        <v>2.89</v>
      </c>
    </row>
    <row r="520" customFormat="false" ht="12.75" hidden="false" customHeight="false" outlineLevel="0" collapsed="false">
      <c r="A520" s="39" t="n">
        <v>40508</v>
      </c>
      <c r="B520" s="10" t="n">
        <v>2.84</v>
      </c>
    </row>
    <row r="521" customFormat="false" ht="12.75" hidden="false" customHeight="false" outlineLevel="0" collapsed="false">
      <c r="A521" s="39" t="n">
        <v>40515</v>
      </c>
      <c r="B521" s="10" t="n">
        <v>2.93</v>
      </c>
    </row>
    <row r="522" customFormat="false" ht="12.75" hidden="false" customHeight="false" outlineLevel="0" collapsed="false">
      <c r="A522" s="39" t="n">
        <v>40522</v>
      </c>
      <c r="B522" s="10" t="n">
        <v>3.18</v>
      </c>
    </row>
    <row r="523" customFormat="false" ht="12.75" hidden="false" customHeight="false" outlineLevel="0" collapsed="false">
      <c r="A523" s="39" t="n">
        <v>40529</v>
      </c>
      <c r="B523" s="10" t="n">
        <v>3.42</v>
      </c>
    </row>
    <row r="524" customFormat="false" ht="12.75" hidden="false" customHeight="false" outlineLevel="0" collapsed="false">
      <c r="A524" s="39" t="n">
        <v>40536</v>
      </c>
      <c r="B524" s="10" t="n">
        <v>3.37</v>
      </c>
    </row>
    <row r="525" customFormat="false" ht="12.75" hidden="false" customHeight="false" outlineLevel="0" collapsed="false">
      <c r="A525" s="39" t="n">
        <v>40543</v>
      </c>
      <c r="B525" s="10" t="n">
        <v>3.38</v>
      </c>
    </row>
    <row r="526" customFormat="false" ht="12.75" hidden="false" customHeight="false" outlineLevel="0" collapsed="false">
      <c r="A526" s="39" t="n">
        <v>40550</v>
      </c>
      <c r="B526" s="10" t="n">
        <v>3.4</v>
      </c>
    </row>
    <row r="527" customFormat="false" ht="12.75" hidden="false" customHeight="false" outlineLevel="0" collapsed="false">
      <c r="A527" s="39" t="n">
        <v>40557</v>
      </c>
      <c r="B527" s="10" t="n">
        <v>3.36</v>
      </c>
    </row>
    <row r="528" customFormat="false" ht="12.75" hidden="false" customHeight="false" outlineLevel="0" collapsed="false">
      <c r="A528" s="39" t="n">
        <v>40564</v>
      </c>
      <c r="B528" s="10" t="n">
        <v>3.42</v>
      </c>
    </row>
    <row r="529" customFormat="false" ht="12.75" hidden="false" customHeight="false" outlineLevel="0" collapsed="false">
      <c r="A529" s="39" t="n">
        <v>40571</v>
      </c>
      <c r="B529" s="10" t="n">
        <v>3.4</v>
      </c>
    </row>
    <row r="530" customFormat="false" ht="12.75" hidden="false" customHeight="false" outlineLevel="0" collapsed="false">
      <c r="A530" s="39" t="n">
        <v>40578</v>
      </c>
      <c r="B530" s="10" t="n">
        <v>3.54</v>
      </c>
    </row>
    <row r="531" customFormat="false" ht="12.75" hidden="false" customHeight="false" outlineLevel="0" collapsed="false">
      <c r="A531" s="39" t="n">
        <v>40585</v>
      </c>
      <c r="B531" s="10" t="n">
        <v>3.68</v>
      </c>
    </row>
    <row r="532" customFormat="false" ht="12.75" hidden="false" customHeight="false" outlineLevel="0" collapsed="false">
      <c r="A532" s="39" t="n">
        <v>40592</v>
      </c>
      <c r="B532" s="10" t="n">
        <v>3.6</v>
      </c>
    </row>
    <row r="533" customFormat="false" ht="12.75" hidden="false" customHeight="false" outlineLevel="0" collapsed="false">
      <c r="A533" s="39" t="n">
        <v>40599</v>
      </c>
      <c r="B533" s="10" t="n">
        <v>3.46</v>
      </c>
    </row>
    <row r="534" customFormat="false" ht="12.75" hidden="false" customHeight="false" outlineLevel="0" collapsed="false">
      <c r="A534" s="39" t="n">
        <v>40606</v>
      </c>
      <c r="B534" s="10" t="n">
        <v>3.47</v>
      </c>
    </row>
    <row r="535" customFormat="false" ht="12.75" hidden="false" customHeight="false" outlineLevel="0" collapsed="false">
      <c r="A535" s="39" t="n">
        <v>40613</v>
      </c>
      <c r="B535" s="10" t="n">
        <v>3.46</v>
      </c>
    </row>
    <row r="536" customFormat="false" ht="12.75" hidden="false" customHeight="false" outlineLevel="0" collapsed="false">
      <c r="A536" s="39" t="n">
        <v>40620</v>
      </c>
      <c r="B536" s="10" t="n">
        <v>3.29</v>
      </c>
    </row>
    <row r="537" customFormat="false" ht="12.75" hidden="false" customHeight="false" outlineLevel="0" collapsed="false">
      <c r="A537" s="39" t="n">
        <v>40627</v>
      </c>
      <c r="B537" s="10" t="n">
        <v>3.38</v>
      </c>
    </row>
    <row r="538" customFormat="false" ht="12.75" hidden="false" customHeight="false" outlineLevel="0" collapsed="false">
      <c r="A538" s="39" t="n">
        <v>40634</v>
      </c>
      <c r="B538" s="10" t="n">
        <v>3.47</v>
      </c>
    </row>
    <row r="539" customFormat="false" ht="12.75" hidden="false" customHeight="false" outlineLevel="0" collapsed="false">
      <c r="A539" s="39" t="n">
        <v>40641</v>
      </c>
      <c r="B539" s="10" t="n">
        <v>3.54</v>
      </c>
    </row>
    <row r="540" customFormat="false" ht="12.75" hidden="false" customHeight="false" outlineLevel="0" collapsed="false">
      <c r="A540" s="39" t="n">
        <v>40648</v>
      </c>
      <c r="B540" s="10" t="n">
        <v>3.51</v>
      </c>
    </row>
    <row r="541" customFormat="false" ht="12.75" hidden="false" customHeight="false" outlineLevel="0" collapsed="false">
      <c r="A541" s="39" t="n">
        <v>40655</v>
      </c>
      <c r="B541" s="10" t="n">
        <v>3.41</v>
      </c>
    </row>
    <row r="542" customFormat="false" ht="12.75" hidden="false" customHeight="false" outlineLevel="0" collapsed="false">
      <c r="A542" s="39" t="n">
        <v>40662</v>
      </c>
      <c r="B542" s="10" t="n">
        <v>3.36</v>
      </c>
    </row>
    <row r="543" customFormat="false" ht="12.75" hidden="false" customHeight="false" outlineLevel="0" collapsed="false">
      <c r="A543" s="39" t="n">
        <v>40669</v>
      </c>
      <c r="B543" s="10" t="n">
        <v>3.24</v>
      </c>
    </row>
    <row r="544" customFormat="false" ht="12.75" hidden="false" customHeight="false" outlineLevel="0" collapsed="false">
      <c r="A544" s="39" t="n">
        <v>40676</v>
      </c>
      <c r="B544" s="10" t="n">
        <v>3.2</v>
      </c>
    </row>
    <row r="545" customFormat="false" ht="12.75" hidden="false" customHeight="false" outlineLevel="0" collapsed="false">
      <c r="A545" s="39" t="n">
        <v>40683</v>
      </c>
      <c r="B545" s="10" t="n">
        <v>3.15</v>
      </c>
    </row>
    <row r="546" customFormat="false" ht="12.75" hidden="false" customHeight="false" outlineLevel="0" collapsed="false">
      <c r="A546" s="39" t="n">
        <v>40690</v>
      </c>
      <c r="B546" s="10" t="n">
        <v>3.1</v>
      </c>
    </row>
    <row r="547" customFormat="false" ht="12.75" hidden="false" customHeight="false" outlineLevel="0" collapsed="false">
      <c r="A547" s="39" t="n">
        <v>40697</v>
      </c>
      <c r="B547" s="10" t="n">
        <v>3.01</v>
      </c>
    </row>
    <row r="548" customFormat="false" ht="12.75" hidden="false" customHeight="false" outlineLevel="0" collapsed="false">
      <c r="A548" s="39" t="n">
        <v>40704</v>
      </c>
      <c r="B548" s="10" t="n">
        <v>3</v>
      </c>
    </row>
    <row r="549" customFormat="false" ht="12.75" hidden="false" customHeight="false" outlineLevel="0" collapsed="false">
      <c r="A549" s="39" t="n">
        <v>40711</v>
      </c>
      <c r="B549" s="10" t="n">
        <v>2.99</v>
      </c>
    </row>
    <row r="550" customFormat="false" ht="12.75" hidden="false" customHeight="false" outlineLevel="0" collapsed="false">
      <c r="A550" s="39" t="n">
        <v>40718</v>
      </c>
      <c r="B550" s="10" t="n">
        <v>2.96</v>
      </c>
    </row>
    <row r="551" customFormat="false" ht="12.75" hidden="false" customHeight="false" outlineLevel="0" collapsed="false">
      <c r="A551" s="39" t="n">
        <v>40725</v>
      </c>
      <c r="B551" s="10" t="n">
        <v>3.11</v>
      </c>
    </row>
    <row r="552" customFormat="false" ht="12.75" hidden="false" customHeight="false" outlineLevel="0" collapsed="false">
      <c r="A552" s="39" t="n">
        <v>40732</v>
      </c>
      <c r="B552" s="10" t="n">
        <v>3.12</v>
      </c>
    </row>
    <row r="553" customFormat="false" ht="12.75" hidden="false" customHeight="false" outlineLevel="0" collapsed="false">
      <c r="A553" s="39" t="n">
        <v>40739</v>
      </c>
      <c r="B553" s="10" t="n">
        <v>2.94</v>
      </c>
    </row>
    <row r="554" customFormat="false" ht="12.75" hidden="false" customHeight="false" outlineLevel="0" collapsed="false">
      <c r="A554" s="39" t="n">
        <v>40746</v>
      </c>
      <c r="B554" s="10" t="n">
        <v>2.97</v>
      </c>
    </row>
    <row r="555" customFormat="false" ht="12.75" hidden="false" customHeight="false" outlineLevel="0" collapsed="false">
      <c r="A555" s="39" t="n">
        <v>40753</v>
      </c>
      <c r="B555" s="10" t="n">
        <v>2.97</v>
      </c>
    </row>
    <row r="556" customFormat="false" ht="12.75" hidden="false" customHeight="false" outlineLevel="0" collapsed="false">
      <c r="A556" s="39" t="n">
        <v>40760</v>
      </c>
      <c r="B556" s="10" t="n">
        <v>2.62</v>
      </c>
    </row>
    <row r="557" customFormat="false" ht="12.75" hidden="false" customHeight="false" outlineLevel="0" collapsed="false">
      <c r="A557" s="39" t="n">
        <v>40767</v>
      </c>
      <c r="B557" s="10" t="n">
        <v>2.27</v>
      </c>
    </row>
    <row r="558" customFormat="false" ht="12.75" hidden="false" customHeight="false" outlineLevel="0" collapsed="false">
      <c r="A558" s="39" t="n">
        <v>40774</v>
      </c>
      <c r="B558" s="10" t="n">
        <v>2.17</v>
      </c>
    </row>
    <row r="559" customFormat="false" ht="12.75" hidden="false" customHeight="false" outlineLevel="0" collapsed="false">
      <c r="A559" s="39" t="n">
        <v>40781</v>
      </c>
      <c r="B559" s="10" t="n">
        <v>2.19</v>
      </c>
    </row>
    <row r="560" customFormat="false" ht="12.75" hidden="false" customHeight="false" outlineLevel="0" collapsed="false">
      <c r="A560" s="39" t="n">
        <v>40788</v>
      </c>
      <c r="B560" s="10" t="n">
        <v>2.17</v>
      </c>
    </row>
    <row r="561" customFormat="false" ht="12.75" hidden="false" customHeight="false" outlineLevel="0" collapsed="false">
      <c r="A561" s="39" t="n">
        <v>40795</v>
      </c>
      <c r="B561" s="10" t="n">
        <v>1.99</v>
      </c>
    </row>
    <row r="562" customFormat="false" ht="12.75" hidden="false" customHeight="false" outlineLevel="0" collapsed="false">
      <c r="A562" s="39" t="n">
        <v>40802</v>
      </c>
      <c r="B562" s="10" t="n">
        <v>2.03</v>
      </c>
    </row>
    <row r="563" customFormat="false" ht="12.75" hidden="false" customHeight="false" outlineLevel="0" collapsed="false">
      <c r="A563" s="39" t="n">
        <v>40809</v>
      </c>
      <c r="B563" s="10" t="n">
        <v>1.87</v>
      </c>
    </row>
    <row r="564" customFormat="false" ht="12.75" hidden="false" customHeight="false" outlineLevel="0" collapsed="false">
      <c r="A564" s="39" t="n">
        <v>40816</v>
      </c>
      <c r="B564" s="10" t="n">
        <v>1.97</v>
      </c>
    </row>
    <row r="565" customFormat="false" ht="12.75" hidden="false" customHeight="false" outlineLevel="0" collapsed="false">
      <c r="A565" s="39" t="n">
        <v>40823</v>
      </c>
      <c r="B565" s="10" t="n">
        <v>1.93</v>
      </c>
    </row>
    <row r="566" customFormat="false" ht="12.75" hidden="false" customHeight="false" outlineLevel="0" collapsed="false">
      <c r="A566" s="39" t="n">
        <v>40830</v>
      </c>
      <c r="B566" s="10" t="n">
        <v>2.22</v>
      </c>
    </row>
    <row r="567" customFormat="false" ht="12.75" hidden="false" customHeight="false" outlineLevel="0" collapsed="false">
      <c r="A567" s="39" t="n">
        <v>40837</v>
      </c>
      <c r="B567" s="10" t="n">
        <v>2.2</v>
      </c>
    </row>
    <row r="568" customFormat="false" ht="12.75" hidden="false" customHeight="false" outlineLevel="0" collapsed="false">
      <c r="A568" s="39" t="n">
        <v>40844</v>
      </c>
      <c r="B568" s="10" t="n">
        <v>2.28</v>
      </c>
    </row>
    <row r="569" customFormat="false" ht="12.75" hidden="false" customHeight="false" outlineLevel="0" collapsed="false">
      <c r="A569" s="39" t="n">
        <v>40851</v>
      </c>
      <c r="B569" s="10" t="n">
        <v>2.07</v>
      </c>
    </row>
    <row r="570" customFormat="false" ht="12.75" hidden="false" customHeight="false" outlineLevel="0" collapsed="false">
      <c r="A570" s="39" t="n">
        <v>40858</v>
      </c>
      <c r="B570" s="10" t="n">
        <v>2.05</v>
      </c>
    </row>
    <row r="571" customFormat="false" ht="12.75" hidden="false" customHeight="false" outlineLevel="0" collapsed="false">
      <c r="A571" s="39" t="n">
        <v>40865</v>
      </c>
      <c r="B571" s="10" t="n">
        <v>2.02</v>
      </c>
    </row>
    <row r="572" customFormat="false" ht="12.75" hidden="false" customHeight="false" outlineLevel="0" collapsed="false">
      <c r="A572" s="39" t="n">
        <v>40872</v>
      </c>
      <c r="B572" s="10" t="n">
        <v>1.94</v>
      </c>
    </row>
    <row r="573" customFormat="false" ht="12.75" hidden="false" customHeight="false" outlineLevel="0" collapsed="false">
      <c r="A573" s="39" t="n">
        <v>40879</v>
      </c>
      <c r="B573" s="10" t="n">
        <v>2.04</v>
      </c>
    </row>
    <row r="574" customFormat="false" ht="12.75" hidden="false" customHeight="false" outlineLevel="0" collapsed="false">
      <c r="A574" s="39" t="n">
        <v>40886</v>
      </c>
      <c r="B574" s="10" t="n">
        <v>2.04</v>
      </c>
    </row>
    <row r="575" customFormat="false" ht="12.75" hidden="false" customHeight="false" outlineLevel="0" collapsed="false">
      <c r="A575" s="39" t="n">
        <v>40893</v>
      </c>
      <c r="B575" s="10" t="n">
        <v>1.94</v>
      </c>
    </row>
    <row r="576" customFormat="false" ht="12.75" hidden="false" customHeight="false" outlineLevel="0" collapsed="false">
      <c r="A576" s="39" t="n">
        <v>40900</v>
      </c>
      <c r="B576" s="10" t="n">
        <v>1.95</v>
      </c>
    </row>
    <row r="577" customFormat="false" ht="12.75" hidden="false" customHeight="false" outlineLevel="0" collapsed="false">
      <c r="A577" s="39" t="n">
        <v>40907</v>
      </c>
      <c r="B577" s="10" t="n">
        <v>1.94</v>
      </c>
    </row>
    <row r="578" customFormat="false" ht="12.75" hidden="false" customHeight="false" outlineLevel="0" collapsed="false">
      <c r="A578" s="39" t="n">
        <v>40914</v>
      </c>
      <c r="B578" s="10" t="n">
        <v>1.99</v>
      </c>
    </row>
    <row r="579" customFormat="false" ht="12.75" hidden="false" customHeight="false" outlineLevel="0" collapsed="false">
      <c r="A579" s="39" t="n">
        <v>40921</v>
      </c>
      <c r="B579" s="10" t="n">
        <v>1.95</v>
      </c>
    </row>
    <row r="580" customFormat="false" ht="12.75" hidden="false" customHeight="false" outlineLevel="0" collapsed="false">
      <c r="A580" s="39" t="n">
        <v>40928</v>
      </c>
      <c r="B580" s="10" t="n">
        <v>1.96</v>
      </c>
    </row>
    <row r="581" customFormat="false" ht="12.75" hidden="false" customHeight="false" outlineLevel="0" collapsed="false">
      <c r="A581" s="39" t="n">
        <v>40935</v>
      </c>
      <c r="B581" s="10" t="n">
        <v>2.01</v>
      </c>
    </row>
    <row r="582" customFormat="false" ht="12.75" hidden="false" customHeight="false" outlineLevel="0" collapsed="false">
      <c r="A582" s="39" t="n">
        <v>40942</v>
      </c>
      <c r="B582" s="10" t="n">
        <v>1.88</v>
      </c>
    </row>
    <row r="583" customFormat="false" ht="12.75" hidden="false" customHeight="false" outlineLevel="0" collapsed="false">
      <c r="A583" s="39" t="n">
        <v>40949</v>
      </c>
      <c r="B583" s="10" t="n">
        <v>1.99</v>
      </c>
    </row>
    <row r="584" customFormat="false" ht="12.75" hidden="false" customHeight="false" outlineLevel="0" collapsed="false">
      <c r="A584" s="39" t="n">
        <v>40956</v>
      </c>
      <c r="B584" s="10" t="n">
        <v>1.97</v>
      </c>
    </row>
    <row r="585" customFormat="false" ht="12.75" hidden="false" customHeight="false" outlineLevel="0" collapsed="false">
      <c r="A585" s="39" t="n">
        <v>40963</v>
      </c>
      <c r="B585" s="10" t="n">
        <v>2.01</v>
      </c>
    </row>
    <row r="586" customFormat="false" ht="12.75" hidden="false" customHeight="false" outlineLevel="0" collapsed="false">
      <c r="A586" s="39" t="n">
        <v>40970</v>
      </c>
      <c r="B586" s="10" t="n">
        <v>1.97</v>
      </c>
    </row>
    <row r="587" customFormat="false" ht="12.75" hidden="false" customHeight="false" outlineLevel="0" collapsed="false">
      <c r="A587" s="39" t="n">
        <v>40977</v>
      </c>
      <c r="B587" s="10" t="n">
        <v>2</v>
      </c>
    </row>
    <row r="588" customFormat="false" ht="12.75" hidden="false" customHeight="false" outlineLevel="0" collapsed="false">
      <c r="A588" s="39" t="n">
        <v>40984</v>
      </c>
      <c r="B588" s="10" t="n">
        <v>2.21</v>
      </c>
    </row>
    <row r="589" customFormat="false" ht="12.75" hidden="false" customHeight="false" outlineLevel="0" collapsed="false">
      <c r="A589" s="39" t="n">
        <v>40991</v>
      </c>
      <c r="B589" s="10" t="n">
        <v>2.32</v>
      </c>
    </row>
    <row r="590" customFormat="false" ht="12.75" hidden="false" customHeight="false" outlineLevel="0" collapsed="false">
      <c r="A590" s="39" t="n">
        <v>40998</v>
      </c>
      <c r="B590" s="10" t="n">
        <v>2.22</v>
      </c>
    </row>
    <row r="591" customFormat="false" ht="12.75" hidden="false" customHeight="false" outlineLevel="0" collapsed="false">
      <c r="A591" s="39" t="n">
        <v>41005</v>
      </c>
      <c r="B591" s="10" t="n">
        <v>2.21</v>
      </c>
    </row>
    <row r="592" customFormat="false" ht="12.75" hidden="false" customHeight="false" outlineLevel="0" collapsed="false">
      <c r="A592" s="39" t="n">
        <v>41012</v>
      </c>
      <c r="B592" s="10" t="n">
        <v>2.04</v>
      </c>
    </row>
    <row r="593" customFormat="false" ht="12.75" hidden="false" customHeight="false" outlineLevel="0" collapsed="false">
      <c r="A593" s="39" t="n">
        <v>41019</v>
      </c>
      <c r="B593" s="10" t="n">
        <v>2</v>
      </c>
    </row>
    <row r="594" customFormat="false" ht="12.75" hidden="false" customHeight="false" outlineLevel="0" collapsed="false">
      <c r="A594" s="39" t="n">
        <v>41026</v>
      </c>
      <c r="B594" s="10" t="n">
        <v>1.98</v>
      </c>
    </row>
    <row r="595" customFormat="false" ht="12.75" hidden="false" customHeight="false" outlineLevel="0" collapsed="false">
      <c r="A595" s="39" t="n">
        <v>41033</v>
      </c>
      <c r="B595" s="10" t="n">
        <v>1.95</v>
      </c>
    </row>
    <row r="596" customFormat="false" ht="12.75" hidden="false" customHeight="false" outlineLevel="0" collapsed="false">
      <c r="A596" s="39" t="n">
        <v>41040</v>
      </c>
      <c r="B596" s="10" t="n">
        <v>1.88</v>
      </c>
    </row>
    <row r="597" customFormat="false" ht="12.75" hidden="false" customHeight="false" outlineLevel="0" collapsed="false">
      <c r="A597" s="39" t="n">
        <v>41047</v>
      </c>
      <c r="B597" s="10" t="n">
        <v>1.74</v>
      </c>
    </row>
    <row r="598" customFormat="false" ht="12.75" hidden="false" customHeight="false" outlineLevel="0" collapsed="false">
      <c r="A598" s="39" t="n">
        <v>41054</v>
      </c>
      <c r="B598" s="10" t="n">
        <v>1.76</v>
      </c>
    </row>
    <row r="599" customFormat="false" ht="12.75" hidden="false" customHeight="false" outlineLevel="0" collapsed="false">
      <c r="A599" s="39" t="n">
        <v>41061</v>
      </c>
      <c r="B599" s="10" t="n">
        <v>1.61</v>
      </c>
    </row>
    <row r="600" customFormat="false" ht="12.75" hidden="false" customHeight="false" outlineLevel="0" collapsed="false">
      <c r="A600" s="39" t="n">
        <v>41068</v>
      </c>
      <c r="B600" s="10" t="n">
        <v>1.61</v>
      </c>
    </row>
    <row r="601" customFormat="false" ht="12.75" hidden="false" customHeight="false" outlineLevel="0" collapsed="false">
      <c r="A601" s="39" t="n">
        <v>41075</v>
      </c>
      <c r="B601" s="10" t="n">
        <v>1.62</v>
      </c>
    </row>
    <row r="602" customFormat="false" ht="12.75" hidden="false" customHeight="false" outlineLevel="0" collapsed="false">
      <c r="A602" s="39" t="n">
        <v>41082</v>
      </c>
      <c r="B602" s="10" t="n">
        <v>1.64</v>
      </c>
    </row>
    <row r="603" customFormat="false" ht="12.75" hidden="false" customHeight="false" outlineLevel="0" collapsed="false">
      <c r="A603" s="39" t="n">
        <v>41089</v>
      </c>
      <c r="B603" s="10" t="n">
        <v>1.64</v>
      </c>
    </row>
    <row r="604" customFormat="false" ht="12.75" hidden="false" customHeight="false" outlineLevel="0" collapsed="false">
      <c r="A604" s="39" t="n">
        <v>41096</v>
      </c>
      <c r="B604" s="10" t="n">
        <v>1.61</v>
      </c>
    </row>
    <row r="605" customFormat="false" ht="12.75" hidden="false" customHeight="false" outlineLevel="0" collapsed="false">
      <c r="A605" s="39" t="n">
        <v>41103</v>
      </c>
      <c r="B605" s="10" t="n">
        <v>1.52</v>
      </c>
    </row>
    <row r="606" customFormat="false" ht="12.75" hidden="false" customHeight="false" outlineLevel="0" collapsed="false">
      <c r="A606" s="39" t="n">
        <v>41110</v>
      </c>
      <c r="B606" s="10" t="n">
        <v>1.52</v>
      </c>
    </row>
    <row r="607" customFormat="false" ht="12.75" hidden="false" customHeight="false" outlineLevel="0" collapsed="false">
      <c r="A607" s="39" t="n">
        <v>41117</v>
      </c>
      <c r="B607" s="10" t="n">
        <v>1.47</v>
      </c>
    </row>
    <row r="608" customFormat="false" ht="12.75" hidden="false" customHeight="false" outlineLevel="0" collapsed="false">
      <c r="A608" s="39" t="n">
        <v>41124</v>
      </c>
      <c r="B608" s="10" t="n">
        <v>1.54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" activeCellId="0" sqref="C3"/>
    </sheetView>
  </sheetViews>
  <sheetFormatPr defaultRowHeight="15" zeroHeight="false" outlineLevelRow="0" outlineLevelCol="0"/>
  <cols>
    <col collapsed="false" customWidth="true" hidden="false" outlineLevel="0" max="1025" min="1" style="0" width="8.67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0" width="8.67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2012-11-26T22:31:38Z</dcterms:created>
  <dc:creator>samsung</dc:creator>
  <dc:description/>
  <dc:language>en-US</dc:language>
  <cp:lastModifiedBy/>
  <dcterms:modified xsi:type="dcterms:W3CDTF">2020-02-16T00:04:24Z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